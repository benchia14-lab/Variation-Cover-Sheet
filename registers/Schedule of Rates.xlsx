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chia\Downloads\"/>
    </mc:Choice>
  </mc:AlternateContent>
  <xr:revisionPtr revIDLastSave="0" documentId="8_{22C14D70-5323-4E33-B4B7-2A5B33F1ACC4}" xr6:coauthVersionLast="47" xr6:coauthVersionMax="47" xr10:uidLastSave="{00000000-0000-0000-0000-000000000000}"/>
  <bookViews>
    <workbookView xWindow="-28920" yWindow="-120" windowWidth="29040" windowHeight="15720" xr2:uid="{F7CE5A97-3CA8-4447-89B0-1B1285B3E05E}"/>
  </bookViews>
  <sheets>
    <sheet name="Master Vari Schedule Of Rates" sheetId="1" r:id="rId1"/>
  </sheets>
  <definedNames>
    <definedName name="_xlnm.Print_Area" localSheetId="0">'Master Vari Schedule Of Rates'!$B$1:$H$767</definedName>
    <definedName name="_xlnm.Print_Titles" localSheetId="0">'Master Vari Schedule Of Rates'!#REF!</definedName>
    <definedName name="Z_34815E09_E5A5_476E_BB5B_60945CAA5926_.wvu.FilterData" localSheetId="0" hidden="1">'Master Vari Schedule Of Rates'!$E$2:$E$203</definedName>
    <definedName name="Z_34815E09_E5A5_476E_BB5B_60945CAA5926_.wvu.PrintArea" localSheetId="0" hidden="1">'Master Vari Schedule Of Rates'!$B$1:$H$203</definedName>
    <definedName name="Z_34815E09_E5A5_476E_BB5B_60945CAA5926_.wvu.PrintTitles" localSheetId="0" hidden="1">'Master Vari Schedule Of Rates'!#REF!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66" i="1" l="1"/>
  <c r="H766" i="1" s="1"/>
  <c r="E765" i="1"/>
  <c r="H765" i="1" s="1"/>
  <c r="E764" i="1"/>
  <c r="H764" i="1" s="1"/>
  <c r="E763" i="1"/>
  <c r="H763" i="1" s="1"/>
  <c r="E762" i="1"/>
  <c r="H762" i="1" s="1"/>
  <c r="H761" i="1"/>
  <c r="H760" i="1"/>
  <c r="E759" i="1"/>
  <c r="H759" i="1" s="1"/>
  <c r="E758" i="1"/>
  <c r="H758" i="1" s="1"/>
  <c r="E757" i="1"/>
  <c r="H757" i="1" s="1"/>
  <c r="E756" i="1"/>
  <c r="H756" i="1" s="1"/>
  <c r="E755" i="1"/>
  <c r="H755" i="1" s="1"/>
  <c r="E754" i="1"/>
  <c r="H754" i="1" s="1"/>
  <c r="E753" i="1"/>
  <c r="H753" i="1" s="1"/>
  <c r="E752" i="1"/>
  <c r="H752" i="1" s="1"/>
  <c r="E751" i="1"/>
  <c r="H751" i="1" s="1"/>
  <c r="E750" i="1"/>
  <c r="H750" i="1" s="1"/>
  <c r="E749" i="1"/>
  <c r="H749" i="1" s="1"/>
  <c r="E748" i="1"/>
  <c r="H748" i="1" s="1"/>
  <c r="E747" i="1"/>
  <c r="H747" i="1" s="1"/>
  <c r="H746" i="1"/>
  <c r="H745" i="1"/>
  <c r="E744" i="1"/>
  <c r="H744" i="1" s="1"/>
  <c r="E743" i="1"/>
  <c r="H743" i="1" s="1"/>
  <c r="E742" i="1"/>
  <c r="H742" i="1" s="1"/>
  <c r="E741" i="1"/>
  <c r="H741" i="1" s="1"/>
  <c r="E740" i="1"/>
  <c r="H740" i="1" s="1"/>
  <c r="E739" i="1"/>
  <c r="H739" i="1" s="1"/>
  <c r="E738" i="1"/>
  <c r="H738" i="1" s="1"/>
  <c r="E737" i="1"/>
  <c r="H737" i="1" s="1"/>
  <c r="E736" i="1"/>
  <c r="H736" i="1" s="1"/>
  <c r="E735" i="1"/>
  <c r="H735" i="1" s="1"/>
  <c r="E734" i="1"/>
  <c r="H734" i="1" s="1"/>
  <c r="E733" i="1"/>
  <c r="H733" i="1" s="1"/>
  <c r="E732" i="1"/>
  <c r="H732" i="1" s="1"/>
  <c r="E731" i="1"/>
  <c r="H731" i="1" s="1"/>
  <c r="E730" i="1"/>
  <c r="H730" i="1" s="1"/>
  <c r="E729" i="1"/>
  <c r="H729" i="1" s="1"/>
  <c r="E728" i="1"/>
  <c r="H728" i="1" s="1"/>
  <c r="E727" i="1"/>
  <c r="H727" i="1" s="1"/>
  <c r="E726" i="1"/>
  <c r="H726" i="1" s="1"/>
  <c r="E725" i="1"/>
  <c r="H725" i="1" s="1"/>
  <c r="E724" i="1"/>
  <c r="H724" i="1" s="1"/>
  <c r="E723" i="1"/>
  <c r="H723" i="1" s="1"/>
  <c r="E722" i="1"/>
  <c r="H722" i="1" s="1"/>
  <c r="E721" i="1"/>
  <c r="H721" i="1" s="1"/>
  <c r="E720" i="1"/>
  <c r="H720" i="1" s="1"/>
  <c r="E719" i="1"/>
  <c r="H719" i="1" s="1"/>
  <c r="E718" i="1"/>
  <c r="H718" i="1" s="1"/>
  <c r="E717" i="1"/>
  <c r="H717" i="1" s="1"/>
  <c r="H716" i="1"/>
  <c r="H715" i="1"/>
  <c r="E714" i="1"/>
  <c r="H714" i="1" s="1"/>
  <c r="E713" i="1"/>
  <c r="H713" i="1" s="1"/>
  <c r="E712" i="1"/>
  <c r="H712" i="1" s="1"/>
  <c r="E711" i="1"/>
  <c r="H711" i="1" s="1"/>
  <c r="E710" i="1"/>
  <c r="H710" i="1" s="1"/>
  <c r="E709" i="1"/>
  <c r="H709" i="1" s="1"/>
  <c r="E708" i="1"/>
  <c r="H708" i="1" s="1"/>
  <c r="E707" i="1"/>
  <c r="H707" i="1" s="1"/>
  <c r="E706" i="1"/>
  <c r="H706" i="1" s="1"/>
  <c r="E705" i="1"/>
  <c r="H705" i="1" s="1"/>
  <c r="E704" i="1"/>
  <c r="H704" i="1" s="1"/>
  <c r="E703" i="1"/>
  <c r="H703" i="1" s="1"/>
  <c r="E702" i="1"/>
  <c r="H702" i="1" s="1"/>
  <c r="E701" i="1"/>
  <c r="H701" i="1" s="1"/>
  <c r="E700" i="1"/>
  <c r="H700" i="1" s="1"/>
  <c r="E699" i="1"/>
  <c r="H699" i="1" s="1"/>
  <c r="E698" i="1"/>
  <c r="H698" i="1" s="1"/>
  <c r="E697" i="1"/>
  <c r="H697" i="1" s="1"/>
  <c r="E696" i="1"/>
  <c r="H696" i="1" s="1"/>
  <c r="E695" i="1"/>
  <c r="H695" i="1" s="1"/>
  <c r="E694" i="1"/>
  <c r="H694" i="1" s="1"/>
  <c r="E693" i="1"/>
  <c r="H693" i="1" s="1"/>
  <c r="E692" i="1"/>
  <c r="H692" i="1" s="1"/>
  <c r="E691" i="1"/>
  <c r="H691" i="1" s="1"/>
  <c r="E690" i="1"/>
  <c r="H690" i="1" s="1"/>
  <c r="E689" i="1"/>
  <c r="H689" i="1" s="1"/>
  <c r="E688" i="1"/>
  <c r="H688" i="1" s="1"/>
  <c r="E687" i="1"/>
  <c r="H687" i="1" s="1"/>
  <c r="E686" i="1"/>
  <c r="H686" i="1" s="1"/>
  <c r="E685" i="1"/>
  <c r="H685" i="1" s="1"/>
  <c r="E684" i="1"/>
  <c r="H684" i="1" s="1"/>
  <c r="E683" i="1"/>
  <c r="H683" i="1" s="1"/>
  <c r="E682" i="1"/>
  <c r="H682" i="1" s="1"/>
  <c r="E681" i="1"/>
  <c r="H681" i="1" s="1"/>
  <c r="E680" i="1"/>
  <c r="H680" i="1" s="1"/>
  <c r="E679" i="1"/>
  <c r="H679" i="1" s="1"/>
  <c r="E678" i="1"/>
  <c r="H678" i="1" s="1"/>
  <c r="E677" i="1"/>
  <c r="H677" i="1" s="1"/>
  <c r="E676" i="1"/>
  <c r="H676" i="1" s="1"/>
  <c r="E675" i="1"/>
  <c r="H675" i="1" s="1"/>
  <c r="E674" i="1"/>
  <c r="H674" i="1" s="1"/>
  <c r="E673" i="1"/>
  <c r="H673" i="1" s="1"/>
  <c r="E672" i="1"/>
  <c r="H672" i="1" s="1"/>
  <c r="E671" i="1"/>
  <c r="H671" i="1" s="1"/>
  <c r="E670" i="1"/>
  <c r="H670" i="1" s="1"/>
  <c r="E669" i="1"/>
  <c r="H669" i="1" s="1"/>
  <c r="E668" i="1"/>
  <c r="H668" i="1" s="1"/>
  <c r="E667" i="1"/>
  <c r="H667" i="1" s="1"/>
  <c r="E666" i="1"/>
  <c r="H666" i="1" s="1"/>
  <c r="E665" i="1"/>
  <c r="H665" i="1" s="1"/>
  <c r="E664" i="1"/>
  <c r="H664" i="1" s="1"/>
  <c r="E663" i="1"/>
  <c r="H663" i="1" s="1"/>
  <c r="E662" i="1"/>
  <c r="H662" i="1" s="1"/>
  <c r="E661" i="1"/>
  <c r="H661" i="1" s="1"/>
  <c r="E660" i="1"/>
  <c r="H660" i="1" s="1"/>
  <c r="E659" i="1"/>
  <c r="H659" i="1" s="1"/>
  <c r="E658" i="1"/>
  <c r="H658" i="1" s="1"/>
  <c r="E657" i="1"/>
  <c r="H657" i="1" s="1"/>
  <c r="E656" i="1"/>
  <c r="H656" i="1" s="1"/>
  <c r="E655" i="1"/>
  <c r="H655" i="1" s="1"/>
  <c r="E654" i="1"/>
  <c r="H654" i="1" s="1"/>
  <c r="E653" i="1"/>
  <c r="H653" i="1" s="1"/>
  <c r="E652" i="1"/>
  <c r="H652" i="1" s="1"/>
  <c r="E651" i="1"/>
  <c r="H651" i="1" s="1"/>
  <c r="E650" i="1"/>
  <c r="H650" i="1" s="1"/>
  <c r="E649" i="1"/>
  <c r="H649" i="1" s="1"/>
  <c r="E648" i="1"/>
  <c r="H648" i="1" s="1"/>
  <c r="E647" i="1"/>
  <c r="H647" i="1" s="1"/>
  <c r="E646" i="1"/>
  <c r="H646" i="1" s="1"/>
  <c r="E645" i="1"/>
  <c r="H645" i="1" s="1"/>
  <c r="E644" i="1"/>
  <c r="H644" i="1" s="1"/>
  <c r="E643" i="1"/>
  <c r="H643" i="1" s="1"/>
  <c r="E642" i="1"/>
  <c r="H642" i="1" s="1"/>
  <c r="E641" i="1"/>
  <c r="H641" i="1" s="1"/>
  <c r="E640" i="1"/>
  <c r="H640" i="1" s="1"/>
  <c r="E639" i="1"/>
  <c r="H639" i="1" s="1"/>
  <c r="E638" i="1"/>
  <c r="H638" i="1" s="1"/>
  <c r="E637" i="1"/>
  <c r="H637" i="1" s="1"/>
  <c r="E636" i="1"/>
  <c r="H636" i="1" s="1"/>
  <c r="E635" i="1"/>
  <c r="H635" i="1" s="1"/>
  <c r="E634" i="1"/>
  <c r="H634" i="1" s="1"/>
  <c r="E633" i="1"/>
  <c r="H633" i="1" s="1"/>
  <c r="E632" i="1"/>
  <c r="H632" i="1" s="1"/>
  <c r="E631" i="1"/>
  <c r="H631" i="1" s="1"/>
  <c r="E630" i="1"/>
  <c r="H630" i="1" s="1"/>
  <c r="E629" i="1"/>
  <c r="H629" i="1" s="1"/>
  <c r="E628" i="1"/>
  <c r="H628" i="1" s="1"/>
  <c r="E627" i="1"/>
  <c r="H627" i="1" s="1"/>
  <c r="E626" i="1"/>
  <c r="H626" i="1" s="1"/>
  <c r="H625" i="1"/>
  <c r="H624" i="1"/>
  <c r="E623" i="1"/>
  <c r="H623" i="1" s="1"/>
  <c r="E622" i="1"/>
  <c r="H622" i="1" s="1"/>
  <c r="E621" i="1"/>
  <c r="H621" i="1" s="1"/>
  <c r="E620" i="1"/>
  <c r="H620" i="1" s="1"/>
  <c r="E619" i="1"/>
  <c r="H619" i="1" s="1"/>
  <c r="E618" i="1"/>
  <c r="H618" i="1" s="1"/>
  <c r="E617" i="1"/>
  <c r="H617" i="1" s="1"/>
  <c r="E616" i="1"/>
  <c r="H616" i="1" s="1"/>
  <c r="E615" i="1"/>
  <c r="H615" i="1" s="1"/>
  <c r="E614" i="1"/>
  <c r="H614" i="1" s="1"/>
  <c r="E613" i="1"/>
  <c r="H613" i="1" s="1"/>
  <c r="E612" i="1"/>
  <c r="H612" i="1" s="1"/>
  <c r="E611" i="1"/>
  <c r="H611" i="1" s="1"/>
  <c r="E610" i="1"/>
  <c r="H610" i="1" s="1"/>
  <c r="E609" i="1"/>
  <c r="H609" i="1" s="1"/>
  <c r="E608" i="1"/>
  <c r="H608" i="1" s="1"/>
  <c r="E607" i="1"/>
  <c r="H607" i="1" s="1"/>
  <c r="E606" i="1"/>
  <c r="H606" i="1" s="1"/>
  <c r="E605" i="1"/>
  <c r="H605" i="1" s="1"/>
  <c r="E604" i="1"/>
  <c r="H604" i="1" s="1"/>
  <c r="E603" i="1"/>
  <c r="H603" i="1" s="1"/>
  <c r="E602" i="1"/>
  <c r="H602" i="1" s="1"/>
  <c r="E601" i="1"/>
  <c r="H601" i="1" s="1"/>
  <c r="E600" i="1"/>
  <c r="H600" i="1" s="1"/>
  <c r="E599" i="1"/>
  <c r="H599" i="1" s="1"/>
  <c r="E598" i="1"/>
  <c r="H598" i="1" s="1"/>
  <c r="E597" i="1"/>
  <c r="H597" i="1" s="1"/>
  <c r="E596" i="1"/>
  <c r="H596" i="1" s="1"/>
  <c r="E595" i="1"/>
  <c r="H595" i="1" s="1"/>
  <c r="E594" i="1"/>
  <c r="H594" i="1" s="1"/>
  <c r="E593" i="1"/>
  <c r="H593" i="1" s="1"/>
  <c r="E592" i="1"/>
  <c r="H592" i="1" s="1"/>
  <c r="E591" i="1"/>
  <c r="H591" i="1" s="1"/>
  <c r="E590" i="1"/>
  <c r="H590" i="1" s="1"/>
  <c r="E589" i="1"/>
  <c r="H589" i="1" s="1"/>
  <c r="E588" i="1"/>
  <c r="H588" i="1" s="1"/>
  <c r="E587" i="1"/>
  <c r="H587" i="1" s="1"/>
  <c r="E586" i="1"/>
  <c r="H586" i="1" s="1"/>
  <c r="E585" i="1"/>
  <c r="H585" i="1" s="1"/>
  <c r="E584" i="1"/>
  <c r="H584" i="1" s="1"/>
  <c r="E583" i="1"/>
  <c r="H583" i="1" s="1"/>
  <c r="E582" i="1"/>
  <c r="H582" i="1" s="1"/>
  <c r="E581" i="1"/>
  <c r="H581" i="1" s="1"/>
  <c r="E580" i="1"/>
  <c r="H580" i="1" s="1"/>
  <c r="E579" i="1"/>
  <c r="H579" i="1" s="1"/>
  <c r="E578" i="1"/>
  <c r="H578" i="1" s="1"/>
  <c r="E577" i="1"/>
  <c r="H577" i="1" s="1"/>
  <c r="E576" i="1"/>
  <c r="H576" i="1" s="1"/>
  <c r="E575" i="1"/>
  <c r="H575" i="1" s="1"/>
  <c r="E574" i="1"/>
  <c r="H574" i="1" s="1"/>
  <c r="E573" i="1"/>
  <c r="H573" i="1" s="1"/>
  <c r="E572" i="1"/>
  <c r="H572" i="1" s="1"/>
  <c r="E571" i="1"/>
  <c r="H571" i="1" s="1"/>
  <c r="E570" i="1"/>
  <c r="H570" i="1" s="1"/>
  <c r="E569" i="1"/>
  <c r="H569" i="1" s="1"/>
  <c r="E568" i="1"/>
  <c r="H568" i="1" s="1"/>
  <c r="E567" i="1"/>
  <c r="H567" i="1" s="1"/>
  <c r="E566" i="1"/>
  <c r="H566" i="1" s="1"/>
  <c r="E565" i="1"/>
  <c r="H565" i="1" s="1"/>
  <c r="E564" i="1"/>
  <c r="H564" i="1" s="1"/>
  <c r="E563" i="1"/>
  <c r="H563" i="1" s="1"/>
  <c r="H562" i="1"/>
  <c r="E562" i="1"/>
  <c r="E561" i="1"/>
  <c r="H561" i="1" s="1"/>
  <c r="E560" i="1"/>
  <c r="H560" i="1" s="1"/>
  <c r="E559" i="1"/>
  <c r="H559" i="1" s="1"/>
  <c r="E558" i="1"/>
  <c r="H558" i="1" s="1"/>
  <c r="E557" i="1"/>
  <c r="H557" i="1" s="1"/>
  <c r="E556" i="1"/>
  <c r="H556" i="1" s="1"/>
  <c r="E555" i="1"/>
  <c r="H555" i="1" s="1"/>
  <c r="E554" i="1"/>
  <c r="H554" i="1" s="1"/>
  <c r="E553" i="1"/>
  <c r="H553" i="1" s="1"/>
  <c r="E552" i="1"/>
  <c r="H552" i="1" s="1"/>
  <c r="E551" i="1"/>
  <c r="H551" i="1" s="1"/>
  <c r="E550" i="1"/>
  <c r="H550" i="1" s="1"/>
  <c r="E549" i="1"/>
  <c r="H549" i="1" s="1"/>
  <c r="E548" i="1"/>
  <c r="H548" i="1" s="1"/>
  <c r="E547" i="1"/>
  <c r="H547" i="1" s="1"/>
  <c r="E546" i="1"/>
  <c r="H546" i="1" s="1"/>
  <c r="E545" i="1"/>
  <c r="H545" i="1" s="1"/>
  <c r="E544" i="1"/>
  <c r="H544" i="1" s="1"/>
  <c r="E543" i="1"/>
  <c r="H543" i="1" s="1"/>
  <c r="E542" i="1"/>
  <c r="H542" i="1" s="1"/>
  <c r="E541" i="1"/>
  <c r="H541" i="1" s="1"/>
  <c r="E540" i="1"/>
  <c r="H540" i="1" s="1"/>
  <c r="E539" i="1"/>
  <c r="H539" i="1" s="1"/>
  <c r="E538" i="1"/>
  <c r="H538" i="1" s="1"/>
  <c r="E537" i="1"/>
  <c r="H537" i="1" s="1"/>
  <c r="E536" i="1"/>
  <c r="H536" i="1" s="1"/>
  <c r="E535" i="1"/>
  <c r="H535" i="1" s="1"/>
  <c r="E534" i="1"/>
  <c r="H534" i="1" s="1"/>
  <c r="E533" i="1"/>
  <c r="H533" i="1" s="1"/>
  <c r="E532" i="1"/>
  <c r="H532" i="1" s="1"/>
  <c r="E531" i="1"/>
  <c r="H531" i="1" s="1"/>
  <c r="E530" i="1"/>
  <c r="H530" i="1" s="1"/>
  <c r="E529" i="1"/>
  <c r="H529" i="1" s="1"/>
  <c r="E528" i="1"/>
  <c r="H528" i="1" s="1"/>
  <c r="E527" i="1"/>
  <c r="H527" i="1" s="1"/>
  <c r="E526" i="1"/>
  <c r="H526" i="1" s="1"/>
  <c r="E525" i="1"/>
  <c r="H525" i="1" s="1"/>
  <c r="E524" i="1"/>
  <c r="H524" i="1" s="1"/>
  <c r="E523" i="1"/>
  <c r="H523" i="1" s="1"/>
  <c r="E522" i="1"/>
  <c r="H522" i="1" s="1"/>
  <c r="E521" i="1"/>
  <c r="H521" i="1" s="1"/>
  <c r="E520" i="1"/>
  <c r="H520" i="1" s="1"/>
  <c r="E519" i="1"/>
  <c r="H519" i="1" s="1"/>
  <c r="E518" i="1"/>
  <c r="H518" i="1" s="1"/>
  <c r="E517" i="1"/>
  <c r="H517" i="1" s="1"/>
  <c r="E516" i="1"/>
  <c r="H516" i="1" s="1"/>
  <c r="E515" i="1"/>
  <c r="H515" i="1" s="1"/>
  <c r="H514" i="1"/>
  <c r="H513" i="1"/>
  <c r="E512" i="1"/>
  <c r="H512" i="1" s="1"/>
  <c r="E511" i="1"/>
  <c r="H511" i="1" s="1"/>
  <c r="E510" i="1"/>
  <c r="H510" i="1" s="1"/>
  <c r="E509" i="1"/>
  <c r="H509" i="1" s="1"/>
  <c r="E508" i="1"/>
  <c r="H508" i="1" s="1"/>
  <c r="E507" i="1"/>
  <c r="H507" i="1" s="1"/>
  <c r="E506" i="1"/>
  <c r="H506" i="1" s="1"/>
  <c r="E505" i="1"/>
  <c r="H505" i="1" s="1"/>
  <c r="E504" i="1"/>
  <c r="H504" i="1" s="1"/>
  <c r="E503" i="1"/>
  <c r="H503" i="1" s="1"/>
  <c r="E502" i="1"/>
  <c r="H502" i="1" s="1"/>
  <c r="E501" i="1"/>
  <c r="H501" i="1" s="1"/>
  <c r="E500" i="1"/>
  <c r="H500" i="1" s="1"/>
  <c r="E499" i="1"/>
  <c r="H499" i="1" s="1"/>
  <c r="E498" i="1"/>
  <c r="H498" i="1" s="1"/>
  <c r="E497" i="1"/>
  <c r="H497" i="1" s="1"/>
  <c r="E496" i="1"/>
  <c r="H496" i="1" s="1"/>
  <c r="E495" i="1"/>
  <c r="H495" i="1" s="1"/>
  <c r="E494" i="1"/>
  <c r="H494" i="1" s="1"/>
  <c r="E493" i="1"/>
  <c r="H493" i="1" s="1"/>
  <c r="E492" i="1"/>
  <c r="H492" i="1" s="1"/>
  <c r="E491" i="1"/>
  <c r="H491" i="1" s="1"/>
  <c r="E490" i="1"/>
  <c r="H490" i="1" s="1"/>
  <c r="E489" i="1"/>
  <c r="H489" i="1" s="1"/>
  <c r="E488" i="1"/>
  <c r="H488" i="1" s="1"/>
  <c r="E487" i="1"/>
  <c r="H487" i="1" s="1"/>
  <c r="E486" i="1"/>
  <c r="H486" i="1" s="1"/>
  <c r="E485" i="1"/>
  <c r="H485" i="1" s="1"/>
  <c r="E484" i="1"/>
  <c r="H484" i="1" s="1"/>
  <c r="E483" i="1"/>
  <c r="H483" i="1" s="1"/>
  <c r="E482" i="1"/>
  <c r="H482" i="1" s="1"/>
  <c r="E481" i="1"/>
  <c r="H481" i="1" s="1"/>
  <c r="E480" i="1"/>
  <c r="H480" i="1" s="1"/>
  <c r="E479" i="1"/>
  <c r="H479" i="1" s="1"/>
  <c r="E478" i="1"/>
  <c r="H478" i="1" s="1"/>
  <c r="E477" i="1"/>
  <c r="H477" i="1" s="1"/>
  <c r="E476" i="1"/>
  <c r="H476" i="1" s="1"/>
  <c r="E475" i="1"/>
  <c r="H475" i="1" s="1"/>
  <c r="E474" i="1"/>
  <c r="H474" i="1" s="1"/>
  <c r="E473" i="1"/>
  <c r="H473" i="1" s="1"/>
  <c r="E472" i="1"/>
  <c r="H472" i="1" s="1"/>
  <c r="E471" i="1"/>
  <c r="H471" i="1" s="1"/>
  <c r="E470" i="1"/>
  <c r="H470" i="1" s="1"/>
  <c r="E469" i="1"/>
  <c r="H469" i="1" s="1"/>
  <c r="E468" i="1"/>
  <c r="H468" i="1" s="1"/>
  <c r="E467" i="1"/>
  <c r="H467" i="1" s="1"/>
  <c r="E466" i="1"/>
  <c r="H466" i="1" s="1"/>
  <c r="E465" i="1"/>
  <c r="H465" i="1" s="1"/>
  <c r="E464" i="1"/>
  <c r="H464" i="1" s="1"/>
  <c r="E463" i="1"/>
  <c r="H463" i="1" s="1"/>
  <c r="E462" i="1"/>
  <c r="H462" i="1" s="1"/>
  <c r="E461" i="1"/>
  <c r="H461" i="1" s="1"/>
  <c r="E460" i="1"/>
  <c r="H460" i="1" s="1"/>
  <c r="E459" i="1"/>
  <c r="H459" i="1" s="1"/>
  <c r="E458" i="1"/>
  <c r="H458" i="1" s="1"/>
  <c r="E457" i="1"/>
  <c r="H457" i="1" s="1"/>
  <c r="E456" i="1"/>
  <c r="H456" i="1" s="1"/>
  <c r="E455" i="1"/>
  <c r="H455" i="1" s="1"/>
  <c r="E454" i="1"/>
  <c r="H454" i="1" s="1"/>
  <c r="E453" i="1"/>
  <c r="H453" i="1" s="1"/>
  <c r="E452" i="1"/>
  <c r="H452" i="1" s="1"/>
  <c r="E451" i="1"/>
  <c r="H451" i="1" s="1"/>
  <c r="E450" i="1"/>
  <c r="H450" i="1" s="1"/>
  <c r="E449" i="1"/>
  <c r="H449" i="1" s="1"/>
  <c r="E448" i="1"/>
  <c r="H448" i="1" s="1"/>
  <c r="E447" i="1"/>
  <c r="H447" i="1" s="1"/>
  <c r="E446" i="1"/>
  <c r="H446" i="1" s="1"/>
  <c r="E445" i="1"/>
  <c r="H445" i="1" s="1"/>
  <c r="E444" i="1"/>
  <c r="H444" i="1" s="1"/>
  <c r="E443" i="1"/>
  <c r="H443" i="1" s="1"/>
  <c r="E442" i="1"/>
  <c r="H442" i="1" s="1"/>
  <c r="E441" i="1"/>
  <c r="H441" i="1" s="1"/>
  <c r="E440" i="1"/>
  <c r="H440" i="1" s="1"/>
  <c r="E439" i="1"/>
  <c r="H439" i="1" s="1"/>
  <c r="E438" i="1"/>
  <c r="H438" i="1" s="1"/>
  <c r="E437" i="1"/>
  <c r="H437" i="1" s="1"/>
  <c r="E436" i="1"/>
  <c r="H436" i="1" s="1"/>
  <c r="E435" i="1"/>
  <c r="H435" i="1" s="1"/>
  <c r="E434" i="1"/>
  <c r="H434" i="1" s="1"/>
  <c r="E433" i="1"/>
  <c r="H433" i="1" s="1"/>
  <c r="E432" i="1"/>
  <c r="H432" i="1" s="1"/>
  <c r="E431" i="1"/>
  <c r="H431" i="1" s="1"/>
  <c r="E430" i="1"/>
  <c r="H430" i="1" s="1"/>
  <c r="E429" i="1"/>
  <c r="H429" i="1" s="1"/>
  <c r="E428" i="1"/>
  <c r="H428" i="1" s="1"/>
  <c r="E427" i="1"/>
  <c r="H427" i="1" s="1"/>
  <c r="E426" i="1"/>
  <c r="H426" i="1" s="1"/>
  <c r="E425" i="1"/>
  <c r="H425" i="1" s="1"/>
  <c r="E424" i="1"/>
  <c r="H424" i="1" s="1"/>
  <c r="H423" i="1"/>
  <c r="H422" i="1"/>
  <c r="E421" i="1"/>
  <c r="H421" i="1" s="1"/>
  <c r="E420" i="1"/>
  <c r="H420" i="1" s="1"/>
  <c r="E419" i="1"/>
  <c r="H419" i="1" s="1"/>
  <c r="E418" i="1"/>
  <c r="H418" i="1" s="1"/>
  <c r="E417" i="1"/>
  <c r="H417" i="1" s="1"/>
  <c r="E416" i="1"/>
  <c r="H416" i="1" s="1"/>
  <c r="E415" i="1"/>
  <c r="H415" i="1" s="1"/>
  <c r="E414" i="1"/>
  <c r="H414" i="1" s="1"/>
  <c r="E413" i="1"/>
  <c r="H413" i="1" s="1"/>
  <c r="E412" i="1"/>
  <c r="H412" i="1" s="1"/>
  <c r="E411" i="1"/>
  <c r="H411" i="1" s="1"/>
  <c r="E410" i="1"/>
  <c r="H410" i="1" s="1"/>
  <c r="E409" i="1"/>
  <c r="H409" i="1" s="1"/>
  <c r="E408" i="1"/>
  <c r="H408" i="1" s="1"/>
  <c r="E407" i="1"/>
  <c r="H407" i="1" s="1"/>
  <c r="E406" i="1"/>
  <c r="H406" i="1" s="1"/>
  <c r="E405" i="1"/>
  <c r="H405" i="1" s="1"/>
  <c r="E404" i="1"/>
  <c r="H404" i="1" s="1"/>
  <c r="E403" i="1"/>
  <c r="H403" i="1" s="1"/>
  <c r="E402" i="1"/>
  <c r="H402" i="1" s="1"/>
  <c r="E401" i="1"/>
  <c r="H401" i="1" s="1"/>
  <c r="E400" i="1"/>
  <c r="H400" i="1" s="1"/>
  <c r="E399" i="1"/>
  <c r="H399" i="1" s="1"/>
  <c r="E398" i="1"/>
  <c r="H398" i="1" s="1"/>
  <c r="E397" i="1"/>
  <c r="H397" i="1" s="1"/>
  <c r="E396" i="1"/>
  <c r="H396" i="1" s="1"/>
  <c r="E395" i="1"/>
  <c r="H395" i="1" s="1"/>
  <c r="E394" i="1"/>
  <c r="H394" i="1" s="1"/>
  <c r="E393" i="1"/>
  <c r="H393" i="1" s="1"/>
  <c r="E392" i="1"/>
  <c r="H392" i="1" s="1"/>
  <c r="E391" i="1"/>
  <c r="H391" i="1" s="1"/>
  <c r="E390" i="1"/>
  <c r="H390" i="1" s="1"/>
  <c r="E389" i="1"/>
  <c r="H389" i="1" s="1"/>
  <c r="E388" i="1"/>
  <c r="H388" i="1" s="1"/>
  <c r="E387" i="1"/>
  <c r="H387" i="1" s="1"/>
  <c r="E386" i="1"/>
  <c r="H386" i="1" s="1"/>
  <c r="E385" i="1"/>
  <c r="H385" i="1" s="1"/>
  <c r="E384" i="1"/>
  <c r="H384" i="1" s="1"/>
  <c r="E383" i="1"/>
  <c r="H383" i="1" s="1"/>
  <c r="E382" i="1"/>
  <c r="H382" i="1" s="1"/>
  <c r="E381" i="1"/>
  <c r="H381" i="1" s="1"/>
  <c r="E380" i="1"/>
  <c r="H380" i="1" s="1"/>
  <c r="E379" i="1"/>
  <c r="H379" i="1" s="1"/>
  <c r="E378" i="1"/>
  <c r="H378" i="1" s="1"/>
  <c r="E377" i="1"/>
  <c r="H377" i="1" s="1"/>
  <c r="E376" i="1"/>
  <c r="H376" i="1" s="1"/>
  <c r="E375" i="1"/>
  <c r="H375" i="1" s="1"/>
  <c r="E374" i="1"/>
  <c r="H374" i="1" s="1"/>
  <c r="E373" i="1"/>
  <c r="H373" i="1" s="1"/>
  <c r="E372" i="1"/>
  <c r="H372" i="1" s="1"/>
  <c r="E371" i="1"/>
  <c r="H371" i="1" s="1"/>
  <c r="E370" i="1"/>
  <c r="H370" i="1" s="1"/>
  <c r="E369" i="1"/>
  <c r="H369" i="1" s="1"/>
  <c r="E368" i="1"/>
  <c r="H368" i="1" s="1"/>
  <c r="E367" i="1"/>
  <c r="H367" i="1" s="1"/>
  <c r="E366" i="1"/>
  <c r="H366" i="1" s="1"/>
  <c r="E365" i="1"/>
  <c r="H365" i="1" s="1"/>
  <c r="E364" i="1"/>
  <c r="H364" i="1" s="1"/>
  <c r="E363" i="1"/>
  <c r="H363" i="1" s="1"/>
  <c r="E362" i="1"/>
  <c r="H362" i="1" s="1"/>
  <c r="E361" i="1"/>
  <c r="H361" i="1" s="1"/>
  <c r="E360" i="1"/>
  <c r="H360" i="1" s="1"/>
  <c r="E359" i="1"/>
  <c r="H359" i="1" s="1"/>
  <c r="E358" i="1"/>
  <c r="H358" i="1" s="1"/>
  <c r="E357" i="1"/>
  <c r="H357" i="1" s="1"/>
  <c r="E356" i="1"/>
  <c r="H356" i="1" s="1"/>
  <c r="E355" i="1"/>
  <c r="H355" i="1" s="1"/>
  <c r="E354" i="1"/>
  <c r="H354" i="1" s="1"/>
  <c r="E353" i="1"/>
  <c r="H353" i="1" s="1"/>
  <c r="E352" i="1"/>
  <c r="H352" i="1" s="1"/>
  <c r="E351" i="1"/>
  <c r="H351" i="1" s="1"/>
  <c r="E350" i="1"/>
  <c r="H350" i="1" s="1"/>
  <c r="E349" i="1"/>
  <c r="H349" i="1" s="1"/>
  <c r="E348" i="1"/>
  <c r="H348" i="1" s="1"/>
  <c r="E347" i="1"/>
  <c r="H347" i="1" s="1"/>
  <c r="E346" i="1"/>
  <c r="H346" i="1" s="1"/>
  <c r="E345" i="1"/>
  <c r="H345" i="1" s="1"/>
  <c r="E344" i="1"/>
  <c r="H344" i="1" s="1"/>
  <c r="E343" i="1"/>
  <c r="H343" i="1" s="1"/>
  <c r="E342" i="1"/>
  <c r="H342" i="1" s="1"/>
  <c r="E341" i="1"/>
  <c r="H341" i="1" s="1"/>
  <c r="E340" i="1"/>
  <c r="H340" i="1" s="1"/>
  <c r="E339" i="1"/>
  <c r="H339" i="1" s="1"/>
  <c r="E338" i="1"/>
  <c r="H338" i="1" s="1"/>
  <c r="E337" i="1"/>
  <c r="H337" i="1" s="1"/>
  <c r="E336" i="1"/>
  <c r="H336" i="1" s="1"/>
  <c r="E335" i="1"/>
  <c r="H335" i="1" s="1"/>
  <c r="E334" i="1"/>
  <c r="H334" i="1" s="1"/>
  <c r="E333" i="1"/>
  <c r="H333" i="1" s="1"/>
  <c r="E332" i="1"/>
  <c r="H332" i="1" s="1"/>
  <c r="E331" i="1"/>
  <c r="H331" i="1" s="1"/>
  <c r="E330" i="1"/>
  <c r="H330" i="1" s="1"/>
  <c r="E329" i="1"/>
  <c r="H329" i="1" s="1"/>
  <c r="E328" i="1"/>
  <c r="H328" i="1" s="1"/>
  <c r="E327" i="1"/>
  <c r="H327" i="1" s="1"/>
  <c r="E326" i="1"/>
  <c r="H326" i="1" s="1"/>
  <c r="E325" i="1"/>
  <c r="H325" i="1" s="1"/>
  <c r="E324" i="1"/>
  <c r="H324" i="1" s="1"/>
  <c r="E323" i="1"/>
  <c r="H323" i="1" s="1"/>
  <c r="E322" i="1"/>
  <c r="H322" i="1" s="1"/>
  <c r="E321" i="1"/>
  <c r="H321" i="1" s="1"/>
  <c r="E320" i="1"/>
  <c r="H320" i="1" s="1"/>
  <c r="E319" i="1"/>
  <c r="H319" i="1" s="1"/>
  <c r="E318" i="1"/>
  <c r="H318" i="1" s="1"/>
  <c r="E317" i="1"/>
  <c r="H317" i="1" s="1"/>
  <c r="H316" i="1"/>
  <c r="H315" i="1"/>
  <c r="E314" i="1"/>
  <c r="H314" i="1" s="1"/>
  <c r="E313" i="1"/>
  <c r="H313" i="1" s="1"/>
  <c r="E312" i="1"/>
  <c r="H312" i="1" s="1"/>
  <c r="E311" i="1"/>
  <c r="H311" i="1" s="1"/>
  <c r="E310" i="1"/>
  <c r="H310" i="1" s="1"/>
  <c r="E309" i="1"/>
  <c r="H309" i="1" s="1"/>
  <c r="E308" i="1"/>
  <c r="H308" i="1" s="1"/>
  <c r="E307" i="1"/>
  <c r="H307" i="1" s="1"/>
  <c r="E306" i="1"/>
  <c r="H306" i="1" s="1"/>
  <c r="E305" i="1"/>
  <c r="H305" i="1" s="1"/>
  <c r="E304" i="1"/>
  <c r="H304" i="1" s="1"/>
  <c r="E303" i="1"/>
  <c r="H303" i="1" s="1"/>
  <c r="E302" i="1"/>
  <c r="H302" i="1" s="1"/>
  <c r="E301" i="1"/>
  <c r="H301" i="1" s="1"/>
  <c r="E300" i="1"/>
  <c r="H300" i="1" s="1"/>
  <c r="E299" i="1"/>
  <c r="H299" i="1" s="1"/>
  <c r="E298" i="1"/>
  <c r="H298" i="1" s="1"/>
  <c r="E297" i="1"/>
  <c r="H297" i="1" s="1"/>
  <c r="E296" i="1"/>
  <c r="H296" i="1" s="1"/>
  <c r="E295" i="1"/>
  <c r="H295" i="1" s="1"/>
  <c r="E294" i="1"/>
  <c r="H294" i="1" s="1"/>
  <c r="E293" i="1"/>
  <c r="H293" i="1" s="1"/>
  <c r="E292" i="1"/>
  <c r="H292" i="1" s="1"/>
  <c r="E291" i="1"/>
  <c r="H291" i="1" s="1"/>
  <c r="E290" i="1"/>
  <c r="H290" i="1" s="1"/>
  <c r="E289" i="1"/>
  <c r="H289" i="1" s="1"/>
  <c r="E288" i="1"/>
  <c r="H288" i="1" s="1"/>
  <c r="E287" i="1"/>
  <c r="H287" i="1" s="1"/>
  <c r="E286" i="1"/>
  <c r="H286" i="1" s="1"/>
  <c r="E285" i="1"/>
  <c r="H285" i="1" s="1"/>
  <c r="E284" i="1"/>
  <c r="H284" i="1" s="1"/>
  <c r="E283" i="1"/>
  <c r="H283" i="1" s="1"/>
  <c r="E282" i="1"/>
  <c r="H282" i="1" s="1"/>
  <c r="E281" i="1"/>
  <c r="H281" i="1" s="1"/>
  <c r="E280" i="1"/>
  <c r="H280" i="1" s="1"/>
  <c r="E279" i="1"/>
  <c r="H279" i="1" s="1"/>
  <c r="E278" i="1"/>
  <c r="H278" i="1" s="1"/>
  <c r="E277" i="1"/>
  <c r="H277" i="1" s="1"/>
  <c r="E276" i="1"/>
  <c r="H276" i="1" s="1"/>
  <c r="E275" i="1"/>
  <c r="H275" i="1" s="1"/>
  <c r="E274" i="1"/>
  <c r="H274" i="1" s="1"/>
  <c r="E273" i="1"/>
  <c r="H273" i="1" s="1"/>
  <c r="E272" i="1"/>
  <c r="H272" i="1" s="1"/>
  <c r="E271" i="1"/>
  <c r="H271" i="1" s="1"/>
  <c r="E270" i="1"/>
  <c r="H270" i="1" s="1"/>
  <c r="E269" i="1"/>
  <c r="H269" i="1" s="1"/>
  <c r="E268" i="1"/>
  <c r="H268" i="1" s="1"/>
  <c r="E267" i="1"/>
  <c r="H267" i="1" s="1"/>
  <c r="E266" i="1"/>
  <c r="H266" i="1" s="1"/>
  <c r="E265" i="1"/>
  <c r="H265" i="1" s="1"/>
  <c r="E264" i="1"/>
  <c r="H264" i="1" s="1"/>
  <c r="E263" i="1"/>
  <c r="H263" i="1" s="1"/>
  <c r="E262" i="1"/>
  <c r="H262" i="1" s="1"/>
  <c r="E261" i="1"/>
  <c r="H261" i="1" s="1"/>
  <c r="H260" i="1"/>
  <c r="H259" i="1"/>
  <c r="E258" i="1"/>
  <c r="H258" i="1" s="1"/>
  <c r="E257" i="1"/>
  <c r="H257" i="1" s="1"/>
  <c r="E256" i="1"/>
  <c r="H256" i="1" s="1"/>
  <c r="E255" i="1"/>
  <c r="H255" i="1" s="1"/>
  <c r="E254" i="1"/>
  <c r="H254" i="1" s="1"/>
  <c r="E253" i="1"/>
  <c r="H253" i="1" s="1"/>
  <c r="E252" i="1"/>
  <c r="H252" i="1" s="1"/>
  <c r="E251" i="1"/>
  <c r="H251" i="1" s="1"/>
  <c r="E250" i="1"/>
  <c r="H250" i="1" s="1"/>
  <c r="E249" i="1"/>
  <c r="H249" i="1" s="1"/>
  <c r="E248" i="1"/>
  <c r="H248" i="1" s="1"/>
  <c r="E247" i="1"/>
  <c r="H247" i="1" s="1"/>
  <c r="E246" i="1"/>
  <c r="H246" i="1" s="1"/>
  <c r="E245" i="1"/>
  <c r="H245" i="1" s="1"/>
  <c r="E244" i="1"/>
  <c r="H244" i="1" s="1"/>
  <c r="E243" i="1"/>
  <c r="H243" i="1" s="1"/>
  <c r="E242" i="1"/>
  <c r="H242" i="1" s="1"/>
  <c r="E241" i="1"/>
  <c r="H241" i="1" s="1"/>
  <c r="E240" i="1"/>
  <c r="H240" i="1" s="1"/>
  <c r="E239" i="1"/>
  <c r="H239" i="1" s="1"/>
  <c r="E238" i="1"/>
  <c r="H238" i="1" s="1"/>
  <c r="E237" i="1"/>
  <c r="H237" i="1" s="1"/>
  <c r="E236" i="1"/>
  <c r="H236" i="1" s="1"/>
  <c r="E235" i="1"/>
  <c r="H235" i="1" s="1"/>
  <c r="E234" i="1"/>
  <c r="H234" i="1" s="1"/>
  <c r="E233" i="1"/>
  <c r="H233" i="1" s="1"/>
  <c r="E232" i="1"/>
  <c r="H232" i="1" s="1"/>
  <c r="E231" i="1"/>
  <c r="H231" i="1" s="1"/>
  <c r="E230" i="1"/>
  <c r="H230" i="1" s="1"/>
  <c r="E229" i="1"/>
  <c r="H229" i="1" s="1"/>
  <c r="E228" i="1"/>
  <c r="H228" i="1" s="1"/>
  <c r="E227" i="1"/>
  <c r="H227" i="1" s="1"/>
  <c r="E226" i="1"/>
  <c r="H226" i="1" s="1"/>
  <c r="E225" i="1"/>
  <c r="H225" i="1" s="1"/>
  <c r="E224" i="1"/>
  <c r="H224" i="1" s="1"/>
  <c r="E223" i="1"/>
  <c r="H223" i="1" s="1"/>
  <c r="E222" i="1"/>
  <c r="H222" i="1" s="1"/>
  <c r="E221" i="1"/>
  <c r="H221" i="1" s="1"/>
  <c r="E220" i="1"/>
  <c r="H220" i="1" s="1"/>
  <c r="E219" i="1"/>
  <c r="H219" i="1" s="1"/>
  <c r="E218" i="1"/>
  <c r="H218" i="1" s="1"/>
  <c r="E217" i="1"/>
  <c r="H217" i="1" s="1"/>
  <c r="E216" i="1"/>
  <c r="H216" i="1" s="1"/>
  <c r="E215" i="1"/>
  <c r="H215" i="1" s="1"/>
  <c r="E214" i="1"/>
  <c r="H214" i="1" s="1"/>
  <c r="E213" i="1"/>
  <c r="H213" i="1" s="1"/>
  <c r="E212" i="1"/>
  <c r="H212" i="1" s="1"/>
  <c r="E211" i="1"/>
  <c r="H211" i="1" s="1"/>
  <c r="E210" i="1"/>
  <c r="H210" i="1" s="1"/>
  <c r="E209" i="1"/>
  <c r="H209" i="1" s="1"/>
  <c r="E208" i="1"/>
  <c r="H208" i="1" s="1"/>
  <c r="E207" i="1"/>
  <c r="H207" i="1" s="1"/>
  <c r="E206" i="1"/>
  <c r="H206" i="1" s="1"/>
  <c r="E205" i="1"/>
  <c r="H205" i="1" s="1"/>
  <c r="H204" i="1"/>
  <c r="H203" i="1"/>
  <c r="E202" i="1"/>
  <c r="H202" i="1" s="1"/>
  <c r="E201" i="1"/>
  <c r="H201" i="1" s="1"/>
  <c r="E200" i="1"/>
  <c r="H200" i="1" s="1"/>
  <c r="E199" i="1"/>
  <c r="H199" i="1" s="1"/>
  <c r="E198" i="1"/>
  <c r="H198" i="1" s="1"/>
  <c r="E197" i="1"/>
  <c r="H197" i="1" s="1"/>
  <c r="E196" i="1"/>
  <c r="H196" i="1" s="1"/>
  <c r="E195" i="1"/>
  <c r="H195" i="1" s="1"/>
  <c r="E194" i="1"/>
  <c r="H194" i="1" s="1"/>
  <c r="E193" i="1"/>
  <c r="H193" i="1" s="1"/>
  <c r="E192" i="1"/>
  <c r="H192" i="1" s="1"/>
  <c r="E191" i="1"/>
  <c r="H191" i="1" s="1"/>
  <c r="E190" i="1"/>
  <c r="H190" i="1" s="1"/>
  <c r="E189" i="1"/>
  <c r="H189" i="1" s="1"/>
  <c r="E188" i="1"/>
  <c r="H188" i="1" s="1"/>
  <c r="E187" i="1"/>
  <c r="H187" i="1" s="1"/>
  <c r="E186" i="1"/>
  <c r="H186" i="1" s="1"/>
  <c r="E185" i="1"/>
  <c r="H185" i="1" s="1"/>
  <c r="E184" i="1"/>
  <c r="H184" i="1" s="1"/>
  <c r="E183" i="1"/>
  <c r="H183" i="1" s="1"/>
  <c r="E182" i="1"/>
  <c r="H182" i="1" s="1"/>
  <c r="E181" i="1"/>
  <c r="H181" i="1" s="1"/>
  <c r="E180" i="1"/>
  <c r="H180" i="1" s="1"/>
  <c r="E179" i="1"/>
  <c r="H179" i="1" s="1"/>
  <c r="E178" i="1"/>
  <c r="H178" i="1" s="1"/>
  <c r="E177" i="1"/>
  <c r="H177" i="1" s="1"/>
  <c r="E176" i="1"/>
  <c r="H176" i="1" s="1"/>
  <c r="E175" i="1"/>
  <c r="H175" i="1" s="1"/>
  <c r="E174" i="1"/>
  <c r="H174" i="1" s="1"/>
  <c r="E173" i="1"/>
  <c r="H173" i="1" s="1"/>
  <c r="E172" i="1"/>
  <c r="H172" i="1" s="1"/>
  <c r="H171" i="1"/>
  <c r="H170" i="1"/>
  <c r="E169" i="1"/>
  <c r="H169" i="1" s="1"/>
  <c r="E168" i="1"/>
  <c r="H168" i="1" s="1"/>
  <c r="E167" i="1"/>
  <c r="H167" i="1" s="1"/>
  <c r="E166" i="1"/>
  <c r="H166" i="1" s="1"/>
  <c r="E165" i="1"/>
  <c r="H165" i="1" s="1"/>
  <c r="E164" i="1"/>
  <c r="H164" i="1" s="1"/>
  <c r="E163" i="1"/>
  <c r="H163" i="1" s="1"/>
  <c r="E162" i="1"/>
  <c r="H162" i="1" s="1"/>
  <c r="E161" i="1"/>
  <c r="H161" i="1" s="1"/>
  <c r="E160" i="1"/>
  <c r="H160" i="1" s="1"/>
  <c r="E159" i="1"/>
  <c r="H159" i="1" s="1"/>
  <c r="E158" i="1"/>
  <c r="H158" i="1" s="1"/>
  <c r="E157" i="1"/>
  <c r="H157" i="1" s="1"/>
  <c r="E156" i="1"/>
  <c r="H156" i="1" s="1"/>
  <c r="E155" i="1"/>
  <c r="H155" i="1" s="1"/>
  <c r="E154" i="1"/>
  <c r="H154" i="1" s="1"/>
  <c r="E153" i="1"/>
  <c r="H153" i="1" s="1"/>
  <c r="E152" i="1"/>
  <c r="H152" i="1" s="1"/>
  <c r="E151" i="1"/>
  <c r="H151" i="1" s="1"/>
  <c r="E150" i="1"/>
  <c r="H150" i="1" s="1"/>
  <c r="E149" i="1"/>
  <c r="H149" i="1" s="1"/>
  <c r="E148" i="1"/>
  <c r="H148" i="1" s="1"/>
  <c r="E147" i="1"/>
  <c r="H147" i="1" s="1"/>
  <c r="E146" i="1"/>
  <c r="H146" i="1" s="1"/>
  <c r="E145" i="1"/>
  <c r="H145" i="1" s="1"/>
  <c r="E144" i="1"/>
  <c r="H144" i="1" s="1"/>
  <c r="E143" i="1"/>
  <c r="H143" i="1" s="1"/>
  <c r="E142" i="1"/>
  <c r="H142" i="1" s="1"/>
  <c r="E141" i="1"/>
  <c r="H141" i="1" s="1"/>
  <c r="E140" i="1"/>
  <c r="H140" i="1" s="1"/>
  <c r="E139" i="1"/>
  <c r="H139" i="1" s="1"/>
  <c r="E138" i="1"/>
  <c r="H138" i="1" s="1"/>
  <c r="E137" i="1"/>
  <c r="H137" i="1" s="1"/>
  <c r="H136" i="1"/>
  <c r="H135" i="1"/>
  <c r="E134" i="1"/>
  <c r="H134" i="1" s="1"/>
  <c r="E133" i="1"/>
  <c r="H133" i="1" s="1"/>
  <c r="E132" i="1"/>
  <c r="H132" i="1" s="1"/>
  <c r="H131" i="1"/>
  <c r="H130" i="1"/>
  <c r="E129" i="1"/>
  <c r="H129" i="1" s="1"/>
  <c r="E128" i="1"/>
  <c r="H128" i="1" s="1"/>
  <c r="E127" i="1"/>
  <c r="H127" i="1" s="1"/>
  <c r="E126" i="1"/>
  <c r="H126" i="1" s="1"/>
  <c r="E125" i="1"/>
  <c r="H125" i="1" s="1"/>
  <c r="E124" i="1"/>
  <c r="H124" i="1" s="1"/>
  <c r="E123" i="1"/>
  <c r="H123" i="1" s="1"/>
  <c r="E122" i="1"/>
  <c r="H122" i="1" s="1"/>
  <c r="E121" i="1"/>
  <c r="H121" i="1" s="1"/>
  <c r="E120" i="1"/>
  <c r="H120" i="1" s="1"/>
  <c r="E119" i="1"/>
  <c r="H119" i="1" s="1"/>
  <c r="E118" i="1"/>
  <c r="H118" i="1" s="1"/>
  <c r="E117" i="1"/>
  <c r="H117" i="1" s="1"/>
  <c r="E116" i="1"/>
  <c r="H116" i="1" s="1"/>
  <c r="E115" i="1"/>
  <c r="H115" i="1" s="1"/>
  <c r="E114" i="1"/>
  <c r="H114" i="1" s="1"/>
  <c r="E113" i="1"/>
  <c r="H113" i="1" s="1"/>
  <c r="E112" i="1"/>
  <c r="H112" i="1" s="1"/>
  <c r="E111" i="1"/>
  <c r="H111" i="1" s="1"/>
  <c r="E110" i="1"/>
  <c r="H110" i="1" s="1"/>
  <c r="E109" i="1"/>
  <c r="H109" i="1" s="1"/>
  <c r="E108" i="1"/>
  <c r="H108" i="1" s="1"/>
  <c r="E107" i="1"/>
  <c r="H107" i="1" s="1"/>
  <c r="E106" i="1"/>
  <c r="H106" i="1" s="1"/>
  <c r="E105" i="1"/>
  <c r="H105" i="1" s="1"/>
  <c r="E104" i="1"/>
  <c r="H104" i="1" s="1"/>
  <c r="E103" i="1"/>
  <c r="H103" i="1" s="1"/>
  <c r="E102" i="1"/>
  <c r="H102" i="1" s="1"/>
  <c r="E101" i="1"/>
  <c r="H101" i="1" s="1"/>
  <c r="E100" i="1"/>
  <c r="H100" i="1" s="1"/>
  <c r="E99" i="1"/>
  <c r="H99" i="1" s="1"/>
  <c r="H98" i="1"/>
  <c r="H97" i="1"/>
  <c r="E96" i="1"/>
  <c r="H96" i="1" s="1"/>
  <c r="E95" i="1"/>
  <c r="H95" i="1" s="1"/>
  <c r="E94" i="1"/>
  <c r="H94" i="1" s="1"/>
  <c r="E93" i="1"/>
  <c r="H93" i="1" s="1"/>
  <c r="E92" i="1"/>
  <c r="H92" i="1" s="1"/>
  <c r="E91" i="1"/>
  <c r="H91" i="1" s="1"/>
  <c r="E90" i="1"/>
  <c r="H90" i="1" s="1"/>
  <c r="E89" i="1"/>
  <c r="H89" i="1" s="1"/>
  <c r="E88" i="1"/>
  <c r="H88" i="1" s="1"/>
  <c r="E87" i="1"/>
  <c r="H87" i="1" s="1"/>
  <c r="E86" i="1"/>
  <c r="H86" i="1" s="1"/>
  <c r="E85" i="1"/>
  <c r="H85" i="1" s="1"/>
  <c r="E84" i="1"/>
  <c r="H84" i="1" s="1"/>
  <c r="H83" i="1"/>
  <c r="H82" i="1"/>
  <c r="E81" i="1"/>
  <c r="H81" i="1" s="1"/>
  <c r="E80" i="1"/>
  <c r="H80" i="1" s="1"/>
  <c r="E79" i="1"/>
  <c r="H79" i="1" s="1"/>
  <c r="E78" i="1"/>
  <c r="H78" i="1" s="1"/>
  <c r="E77" i="1"/>
  <c r="H77" i="1" s="1"/>
  <c r="E76" i="1"/>
  <c r="H76" i="1" s="1"/>
  <c r="E75" i="1"/>
  <c r="H75" i="1" s="1"/>
  <c r="E74" i="1"/>
  <c r="H74" i="1" s="1"/>
  <c r="E73" i="1"/>
  <c r="H73" i="1" s="1"/>
  <c r="E72" i="1"/>
  <c r="H72" i="1" s="1"/>
  <c r="H71" i="1"/>
  <c r="H70" i="1"/>
  <c r="E69" i="1"/>
  <c r="H69" i="1" s="1"/>
  <c r="E68" i="1"/>
  <c r="H68" i="1" s="1"/>
  <c r="E67" i="1"/>
  <c r="H67" i="1" s="1"/>
  <c r="E66" i="1"/>
  <c r="H66" i="1" s="1"/>
  <c r="E65" i="1"/>
  <c r="H65" i="1" s="1"/>
  <c r="E64" i="1"/>
  <c r="H64" i="1" s="1"/>
  <c r="E63" i="1"/>
  <c r="H63" i="1" s="1"/>
  <c r="E62" i="1"/>
  <c r="H62" i="1" s="1"/>
  <c r="E61" i="1"/>
  <c r="H61" i="1" s="1"/>
  <c r="H60" i="1"/>
  <c r="H59" i="1"/>
  <c r="E58" i="1"/>
  <c r="H58" i="1" s="1"/>
  <c r="E57" i="1"/>
  <c r="H57" i="1" s="1"/>
  <c r="E56" i="1"/>
  <c r="H56" i="1" s="1"/>
  <c r="E55" i="1"/>
  <c r="H55" i="1" s="1"/>
  <c r="E54" i="1"/>
  <c r="H54" i="1" s="1"/>
  <c r="E53" i="1"/>
  <c r="H53" i="1" s="1"/>
  <c r="E52" i="1"/>
  <c r="H52" i="1" s="1"/>
  <c r="E51" i="1"/>
  <c r="H51" i="1" s="1"/>
  <c r="E50" i="1"/>
  <c r="H50" i="1" s="1"/>
  <c r="E49" i="1"/>
  <c r="H49" i="1" s="1"/>
  <c r="E48" i="1"/>
  <c r="H48" i="1" s="1"/>
  <c r="E47" i="1"/>
  <c r="H47" i="1" s="1"/>
  <c r="E46" i="1"/>
  <c r="H46" i="1" s="1"/>
  <c r="E45" i="1"/>
  <c r="H45" i="1" s="1"/>
  <c r="E44" i="1"/>
  <c r="H44" i="1" s="1"/>
  <c r="E43" i="1"/>
  <c r="H43" i="1" s="1"/>
  <c r="E42" i="1"/>
  <c r="H42" i="1" s="1"/>
  <c r="E41" i="1"/>
  <c r="H41" i="1" s="1"/>
  <c r="E40" i="1"/>
  <c r="H40" i="1" s="1"/>
  <c r="E39" i="1"/>
  <c r="H39" i="1" s="1"/>
  <c r="E38" i="1"/>
  <c r="H38" i="1" s="1"/>
  <c r="E37" i="1"/>
  <c r="H37" i="1" s="1"/>
  <c r="E36" i="1"/>
  <c r="H36" i="1" s="1"/>
  <c r="E35" i="1"/>
  <c r="H35" i="1" s="1"/>
  <c r="E34" i="1"/>
  <c r="H34" i="1" s="1"/>
  <c r="E33" i="1"/>
  <c r="H33" i="1" s="1"/>
  <c r="E32" i="1"/>
  <c r="H32" i="1" s="1"/>
  <c r="E31" i="1"/>
  <c r="H31" i="1" s="1"/>
  <c r="E30" i="1"/>
  <c r="H30" i="1" s="1"/>
  <c r="E29" i="1"/>
  <c r="H29" i="1" s="1"/>
  <c r="E28" i="1"/>
  <c r="H28" i="1" s="1"/>
  <c r="E27" i="1"/>
  <c r="H27" i="1" s="1"/>
  <c r="E26" i="1"/>
  <c r="H26" i="1" s="1"/>
  <c r="E25" i="1"/>
  <c r="H25" i="1" s="1"/>
  <c r="E24" i="1"/>
  <c r="H24" i="1" s="1"/>
  <c r="E23" i="1"/>
  <c r="H23" i="1" s="1"/>
  <c r="E22" i="1"/>
  <c r="H22" i="1" s="1"/>
  <c r="E21" i="1"/>
  <c r="H21" i="1" s="1"/>
  <c r="E20" i="1"/>
  <c r="H20" i="1" s="1"/>
  <c r="E19" i="1"/>
  <c r="H19" i="1" s="1"/>
  <c r="E18" i="1"/>
  <c r="H18" i="1" s="1"/>
  <c r="E17" i="1"/>
  <c r="H17" i="1" s="1"/>
  <c r="E16" i="1"/>
  <c r="H16" i="1" s="1"/>
  <c r="H15" i="1"/>
  <c r="E13" i="1"/>
  <c r="H13" i="1" s="1"/>
  <c r="E12" i="1"/>
  <c r="H12" i="1" s="1"/>
  <c r="E11" i="1"/>
  <c r="H11" i="1" s="1"/>
  <c r="E10" i="1"/>
  <c r="H10" i="1" s="1"/>
  <c r="E9" i="1"/>
  <c r="H9" i="1" s="1"/>
  <c r="E8" i="1"/>
  <c r="H8" i="1" s="1"/>
  <c r="E7" i="1"/>
  <c r="H7" i="1" s="1"/>
  <c r="E6" i="1"/>
  <c r="H6" i="1" s="1"/>
  <c r="E5" i="1"/>
  <c r="H5" i="1" s="1"/>
  <c r="H4" i="1"/>
  <c r="H3" i="1"/>
</calcChain>
</file>

<file path=xl/sharedStrings.xml><?xml version="1.0" encoding="utf-8"?>
<sst xmlns="http://schemas.openxmlformats.org/spreadsheetml/2006/main" count="1477" uniqueCount="435">
  <si>
    <t>Description</t>
  </si>
  <si>
    <t>Add</t>
  </si>
  <si>
    <t>Ded</t>
  </si>
  <si>
    <t>Diff</t>
  </si>
  <si>
    <t>Unit</t>
  </si>
  <si>
    <t>Rates</t>
  </si>
  <si>
    <t>$   Total</t>
  </si>
  <si>
    <t>CONTRACT RATES
Note - All rates provided below exclude spotters for EWP works</t>
  </si>
  <si>
    <t>Labour Rates - For revised Program</t>
  </si>
  <si>
    <t>Tradesman Normal Time</t>
  </si>
  <si>
    <t>hrs</t>
  </si>
  <si>
    <t>Tradesman Double Time</t>
  </si>
  <si>
    <t>Foreman Normal Time</t>
  </si>
  <si>
    <t>Foreman Double Time</t>
  </si>
  <si>
    <t>Supervisor Normal Time</t>
  </si>
  <si>
    <t>Supervisor Double Time</t>
  </si>
  <si>
    <t>Designer Normal Time</t>
  </si>
  <si>
    <t>Designer Double Time</t>
  </si>
  <si>
    <t>Design, Co-Ordination, Modelling, Asbuilts Etc (5%)</t>
  </si>
  <si>
    <t>item</t>
  </si>
  <si>
    <t>Stormwater Downpipe</t>
  </si>
  <si>
    <t>300PVC/metre</t>
  </si>
  <si>
    <t>per metre</t>
  </si>
  <si>
    <t>225 PVC/metre</t>
  </si>
  <si>
    <t>150 PVC/metre</t>
  </si>
  <si>
    <t>100 PVC/metre</t>
  </si>
  <si>
    <t>65 PVC/metre</t>
  </si>
  <si>
    <t>300PVC Bend</t>
  </si>
  <si>
    <t>each</t>
  </si>
  <si>
    <t>225 PVC Bend</t>
  </si>
  <si>
    <t>150 PVC Bend</t>
  </si>
  <si>
    <t>100 PVC Bend</t>
  </si>
  <si>
    <t xml:space="preserve"> 65 PVC Bend  </t>
  </si>
  <si>
    <t>300 PVC Junction</t>
  </si>
  <si>
    <t>225 PVC Junction</t>
  </si>
  <si>
    <t>150 PVC Junction</t>
  </si>
  <si>
    <t>100 PVC Junction</t>
  </si>
  <si>
    <t>65 PVC Junction</t>
  </si>
  <si>
    <t>900 Sq Pit with Grating (1m deep)</t>
  </si>
  <si>
    <t>900 Sq Pit with Grating (2m deep)</t>
  </si>
  <si>
    <t>900 Sq Pit with Grating (3m deep)</t>
  </si>
  <si>
    <t>1200 Sq Pit with Grating (1m deep)</t>
  </si>
  <si>
    <t>1200 Sq Pit with Grating (2m deep)</t>
  </si>
  <si>
    <t>1200 Sq Pit with Grating (3m deep)</t>
  </si>
  <si>
    <t>300mm Wide Longitudinal Cast Iron Grating and Frame/per metre</t>
  </si>
  <si>
    <t>200mm Wide Longitudinal Cast Iron Grating and Frame/per metre</t>
  </si>
  <si>
    <t>100mm Wide Longitudinal Cast Iron Grating and Frame/per metre</t>
  </si>
  <si>
    <t>225 IO test and expansion joint</t>
  </si>
  <si>
    <t>150 IO test and expansion joint</t>
  </si>
  <si>
    <t>100 IO test and expansion joint</t>
  </si>
  <si>
    <t>100 Clear Out as Specified</t>
  </si>
  <si>
    <t>225 Clear Out as Specified</t>
  </si>
  <si>
    <t>100 Stainless Steel floor waste riser with collar</t>
  </si>
  <si>
    <t xml:space="preserve">Plantroom floor waste with 100mm    </t>
  </si>
  <si>
    <t xml:space="preserve">100 X 65 Chrome Plated Floor Waste Gully </t>
  </si>
  <si>
    <t xml:space="preserve">100 X 50 Chrome Plated Floor Waste Gully </t>
  </si>
  <si>
    <t xml:space="preserve">100 Chrome Plated Floor Waste Grate  </t>
  </si>
  <si>
    <t>150 CI Roof Outlet with Nickel Bronze Grate</t>
  </si>
  <si>
    <t>100 CI Roof Outlet with Nickel Bronze Grate</t>
  </si>
  <si>
    <t xml:space="preserve"> 80 CI Roof Outlet with Nickel Bronze Grate</t>
  </si>
  <si>
    <t xml:space="preserve"> 50 CI Roof Outlet with Nickel Bronze Grate </t>
  </si>
  <si>
    <t>100 CI Balcony Outlet with Nickel Bronze Gate</t>
  </si>
  <si>
    <t xml:space="preserve">  80 CI Balcony Outlet with Nickel Bronze Gate</t>
  </si>
  <si>
    <t xml:space="preserve">  50 CI Balcony Outlet with Nickel Bronze Gate</t>
  </si>
  <si>
    <t>100 Cap to end of pipe</t>
  </si>
  <si>
    <t>50 Cap to end of pipe</t>
  </si>
  <si>
    <r>
      <t xml:space="preserve">Drilled Penetrations
</t>
    </r>
    <r>
      <rPr>
        <b/>
        <i/>
        <sz val="11"/>
        <rFont val="Arial Narrow"/>
        <family val="2"/>
      </rPr>
      <t>200mm Thickness Concrete Slab</t>
    </r>
  </si>
  <si>
    <t>Slab scanning, permits, etc</t>
  </si>
  <si>
    <t>50mm diameter drilled peno</t>
  </si>
  <si>
    <t>65mm diameter drilled peno</t>
  </si>
  <si>
    <t>75mm diameter drilled peno</t>
  </si>
  <si>
    <t>100mm diameter drilled peno</t>
  </si>
  <si>
    <t>125mm diameter drilled peno</t>
  </si>
  <si>
    <t>150mm diameter drilled peno</t>
  </si>
  <si>
    <t>200mm diameter drilled peno</t>
  </si>
  <si>
    <t>300mm diameter drilled peno</t>
  </si>
  <si>
    <t>Fire Collar</t>
  </si>
  <si>
    <t>40 mm diameter fire collar</t>
  </si>
  <si>
    <t>50mm diameter fire collar</t>
  </si>
  <si>
    <t>65mm diameter fire collar</t>
  </si>
  <si>
    <t>80mm diameter fire collar</t>
  </si>
  <si>
    <t>100mm diameter fire collar</t>
  </si>
  <si>
    <t>125mm diameter fire collar</t>
  </si>
  <si>
    <t>150mm diameter fire collar</t>
  </si>
  <si>
    <t>200mm diameter fire collar</t>
  </si>
  <si>
    <t>250mm diameter fire collar</t>
  </si>
  <si>
    <t>300mm diameter fire collar</t>
  </si>
  <si>
    <t xml:space="preserve">Pipe Seals </t>
  </si>
  <si>
    <t>20mm diameter pipe seal</t>
  </si>
  <si>
    <t>25mm diameter pipe seal</t>
  </si>
  <si>
    <t>32mm diameter pipe seal</t>
  </si>
  <si>
    <t>40mm diameter pipe seal</t>
  </si>
  <si>
    <t>50mm diameter pipe seal</t>
  </si>
  <si>
    <t>65mm diameter pipe seal</t>
  </si>
  <si>
    <t>75mm diameter pipe seal</t>
  </si>
  <si>
    <t>100mm diameter pipe seal</t>
  </si>
  <si>
    <t>125mm diameter pipe seal</t>
  </si>
  <si>
    <t>150mm diameter pipe seal</t>
  </si>
  <si>
    <t>200mm diameter pipe seal</t>
  </si>
  <si>
    <t>250mm diameter pipe seal</t>
  </si>
  <si>
    <t>300mm diameter pipe seal</t>
  </si>
  <si>
    <t xml:space="preserve">Supply and Installation of Acoustic Lagging </t>
  </si>
  <si>
    <t>40mm pipe - acoustic</t>
  </si>
  <si>
    <t>50mm pipe- acoustic</t>
  </si>
  <si>
    <t>65mm pipe- acoustic</t>
  </si>
  <si>
    <t>75mm pipe- acoustic</t>
  </si>
  <si>
    <t>100mm pipe- acoustic</t>
  </si>
  <si>
    <t>125mm pipe- acoustic</t>
  </si>
  <si>
    <t>150mm pipe- acoustic</t>
  </si>
  <si>
    <t>225mm pipe- acoustic</t>
  </si>
  <si>
    <t>250mm pipe- acoustic</t>
  </si>
  <si>
    <t>315mm pipe- acoustic</t>
  </si>
  <si>
    <t>40mm bend- acoustic</t>
  </si>
  <si>
    <t>50mm bend- acoustic</t>
  </si>
  <si>
    <t>65mm bend- acoustic</t>
  </si>
  <si>
    <t>75mm bend- acoustic</t>
  </si>
  <si>
    <t>100mm bend- acoustic</t>
  </si>
  <si>
    <t>125mm bend- acoustic</t>
  </si>
  <si>
    <t>150mm bend- acoustic</t>
  </si>
  <si>
    <t>225mm bend- acoustic</t>
  </si>
  <si>
    <t>250mm bend- acoustic</t>
  </si>
  <si>
    <t>315mm bend- acoustic</t>
  </si>
  <si>
    <t>40mm junction- acoustic</t>
  </si>
  <si>
    <t>50mm junction- acoustic</t>
  </si>
  <si>
    <t>65mm junction- acoustic</t>
  </si>
  <si>
    <t>75mm junction- acoustic</t>
  </si>
  <si>
    <t>100mm junction- acoustic</t>
  </si>
  <si>
    <t>125mm junction- acoustic</t>
  </si>
  <si>
    <t>150mm junction- acoustic</t>
  </si>
  <si>
    <t>225mm junction- acoustic</t>
  </si>
  <si>
    <t>250mm junction- acoustic</t>
  </si>
  <si>
    <t>315mm junction- acoustic</t>
  </si>
  <si>
    <t>100mm gully trap- acoustic</t>
  </si>
  <si>
    <t xml:space="preserve">Sub-Soil Drainage
</t>
  </si>
  <si>
    <t>160 HDPE/metre</t>
  </si>
  <si>
    <t>110 HDPE/metre</t>
  </si>
  <si>
    <t>110 Clear Out as Specified</t>
  </si>
  <si>
    <t xml:space="preserve">Syfonic Downpipes
</t>
  </si>
  <si>
    <t>450 HDPE/metre</t>
  </si>
  <si>
    <t>315 HDPE/metre</t>
  </si>
  <si>
    <t>250 HDPE/metre</t>
  </si>
  <si>
    <t>200 HDPE/metre</t>
  </si>
  <si>
    <t>125 HDPE/metre</t>
  </si>
  <si>
    <t>75 HDPE/metre</t>
  </si>
  <si>
    <t>450 HDPE Bend</t>
  </si>
  <si>
    <t>315 HDPE Bend</t>
  </si>
  <si>
    <t>250 HDPE Bend</t>
  </si>
  <si>
    <t>160 HDPE Bend</t>
  </si>
  <si>
    <t>125 HDPE Bend</t>
  </si>
  <si>
    <t>110 HDPE Bend</t>
  </si>
  <si>
    <t>75 HDPE Bend</t>
  </si>
  <si>
    <t>450 HDPE Junction</t>
  </si>
  <si>
    <t>315 HDPE Junction</t>
  </si>
  <si>
    <t>250 HDPE Junction</t>
  </si>
  <si>
    <t>160 HDPE Junction</t>
  </si>
  <si>
    <t>125 HDPE Junction</t>
  </si>
  <si>
    <t>110 HDPE Junction</t>
  </si>
  <si>
    <t>450 x 315 HDPE reducer</t>
  </si>
  <si>
    <t>450 x 160 HDPE reducer</t>
  </si>
  <si>
    <t>Syfonic roof outlet as Specified</t>
  </si>
  <si>
    <t>Syfonic planter outlet as Specified</t>
  </si>
  <si>
    <t>80 CI Roof Outlet with Nickel Bronze Grate</t>
  </si>
  <si>
    <t xml:space="preserve">50 CI Roof Outlet with Nickel Bronze Grate </t>
  </si>
  <si>
    <t>80 CI Balcony Outlet with Nickel Bronze Gate</t>
  </si>
  <si>
    <t>50 CI Balcony Outlet with Nickel Bronze Gate</t>
  </si>
  <si>
    <t>Trade waste</t>
  </si>
  <si>
    <t>160 HDPE/metre 1m deep</t>
  </si>
  <si>
    <t>110 HDPE/metre 1m deep</t>
  </si>
  <si>
    <t>160 HDPE/metre 1.5m deep</t>
  </si>
  <si>
    <t>110 HDPE/metre 1.5m deep</t>
  </si>
  <si>
    <t>160 HDPE/metre 2m deep</t>
  </si>
  <si>
    <t>110 HDPE/metre 2m deep</t>
  </si>
  <si>
    <t>65 HDPE/metre</t>
  </si>
  <si>
    <t>50 HDPE/metre</t>
  </si>
  <si>
    <t xml:space="preserve"> 65 HDPE Bend</t>
  </si>
  <si>
    <t>50 HDPE Bend</t>
  </si>
  <si>
    <t>65 HDPE Junction</t>
  </si>
  <si>
    <t>50 HDPE Junction</t>
  </si>
  <si>
    <t>Bucket trap floor waste</t>
  </si>
  <si>
    <t>110 HDPE Capped end</t>
  </si>
  <si>
    <t>65 HDPE Capped end</t>
  </si>
  <si>
    <t>Tundish exposed chrome plated 100mm x 50mm floor mounted</t>
  </si>
  <si>
    <t>InwallTundish (single point)</t>
  </si>
  <si>
    <t>50 HDPE Tundish (trap and LIT only)</t>
  </si>
  <si>
    <t>50mm AAV</t>
  </si>
  <si>
    <t>Sanitary Plumbing</t>
  </si>
  <si>
    <t>160 PVC/metre 1m deep</t>
  </si>
  <si>
    <t>110 PVC/metre 1m deep</t>
  </si>
  <si>
    <t>160 PVC/metre 1.5m deep</t>
  </si>
  <si>
    <t>110 PVC/metre 1.5m deep</t>
  </si>
  <si>
    <t>160 PVC/metre 2m deep</t>
  </si>
  <si>
    <t>110 PVC/metre 2m deep</t>
  </si>
  <si>
    <t>80 PVC/metre</t>
  </si>
  <si>
    <t>50 PVC/metre</t>
  </si>
  <si>
    <t>40 PVC /metre</t>
  </si>
  <si>
    <t>80 PVC Bend</t>
  </si>
  <si>
    <t>65 PVC Bend</t>
  </si>
  <si>
    <t>50 PVC Bend</t>
  </si>
  <si>
    <t>40 PVC Bend</t>
  </si>
  <si>
    <t>80 PVC Junction</t>
  </si>
  <si>
    <t>50 PVC Junction</t>
  </si>
  <si>
    <t>40 PVC Junction</t>
  </si>
  <si>
    <t>50 PVC Tundish (trap and LIT only )</t>
  </si>
  <si>
    <t>Gas Supply</t>
  </si>
  <si>
    <t>200mm copper pipe/metre</t>
  </si>
  <si>
    <t>150mm copper pipe/metre</t>
  </si>
  <si>
    <t xml:space="preserve">100 Copper Pipe/metre   </t>
  </si>
  <si>
    <t xml:space="preserve">80 Copper Pipe/metre   </t>
  </si>
  <si>
    <t xml:space="preserve">65 Copper Pipe/metre   </t>
  </si>
  <si>
    <t xml:space="preserve">50 Copper Pipe/metre   </t>
  </si>
  <si>
    <t xml:space="preserve">40 Copper Pipe/metre   </t>
  </si>
  <si>
    <t xml:space="preserve">32 Copper Pipe/metre   </t>
  </si>
  <si>
    <t xml:space="preserve">25 Copper Pipe/metre   </t>
  </si>
  <si>
    <t xml:space="preserve">20 Copper Pipe/metre   </t>
  </si>
  <si>
    <t xml:space="preserve">15 Copper Pipe/metre   </t>
  </si>
  <si>
    <t>200mm copper bend</t>
  </si>
  <si>
    <t>150mm copper bend</t>
  </si>
  <si>
    <t xml:space="preserve">100 Copper Bend  </t>
  </si>
  <si>
    <t xml:space="preserve">80 Copper Bend  </t>
  </si>
  <si>
    <t xml:space="preserve">65 Copper Bend  </t>
  </si>
  <si>
    <t xml:space="preserve">50 Copper Bend  </t>
  </si>
  <si>
    <t xml:space="preserve">40 Copper Bend  </t>
  </si>
  <si>
    <t xml:space="preserve">32 Copper Bend  </t>
  </si>
  <si>
    <t xml:space="preserve">25 Copper Bend  </t>
  </si>
  <si>
    <t xml:space="preserve">20 Copper Bend  </t>
  </si>
  <si>
    <t xml:space="preserve">15 Copper Bend  </t>
  </si>
  <si>
    <t>200mm copper tee</t>
  </si>
  <si>
    <t>150mm copper tee</t>
  </si>
  <si>
    <t xml:space="preserve">100 Copper Tee  </t>
  </si>
  <si>
    <t xml:space="preserve">80 Copper Tee  </t>
  </si>
  <si>
    <t xml:space="preserve">65 Copper Tee  </t>
  </si>
  <si>
    <t xml:space="preserve">50 Copper Tee  </t>
  </si>
  <si>
    <t xml:space="preserve">40 Copper Tee  </t>
  </si>
  <si>
    <t xml:space="preserve">32 Copper Tee  </t>
  </si>
  <si>
    <t xml:space="preserve">25 Copper Tee  </t>
  </si>
  <si>
    <t xml:space="preserve">20 Copper Tee  </t>
  </si>
  <si>
    <t xml:space="preserve">15 Copper Tee  </t>
  </si>
  <si>
    <t xml:space="preserve">150 Ball valve  </t>
  </si>
  <si>
    <t xml:space="preserve">100 Ball valve </t>
  </si>
  <si>
    <t xml:space="preserve">80 Ball valve </t>
  </si>
  <si>
    <t>65 Ball valve</t>
  </si>
  <si>
    <t xml:space="preserve">50 Ball valve  </t>
  </si>
  <si>
    <t>40 Ball valve</t>
  </si>
  <si>
    <t>32 Ball valve</t>
  </si>
  <si>
    <t xml:space="preserve">25 Ball valve </t>
  </si>
  <si>
    <t xml:space="preserve">20 Ball valve  </t>
  </si>
  <si>
    <t>15 Ball valve</t>
  </si>
  <si>
    <t>200 cap to end of pipe</t>
  </si>
  <si>
    <t>150 cap to end of pipe</t>
  </si>
  <si>
    <t>100 cap to end of pipe</t>
  </si>
  <si>
    <t>80 cap to end of pipe</t>
  </si>
  <si>
    <t>65 cap to end of pipe</t>
  </si>
  <si>
    <t>50 cap to end of pipe</t>
  </si>
  <si>
    <t>40  cap to end of pipe</t>
  </si>
  <si>
    <t>32 cap to end of pipe</t>
  </si>
  <si>
    <t>25 cap to end of pipe</t>
  </si>
  <si>
    <t>20 cap to end of pipe</t>
  </si>
  <si>
    <t>15 cap to end of pipe</t>
  </si>
  <si>
    <t>Cold Water Services</t>
  </si>
  <si>
    <t xml:space="preserve">100 HDPE Pipe/metre   </t>
  </si>
  <si>
    <t xml:space="preserve">80 HDPE Pipe/metre   </t>
  </si>
  <si>
    <t xml:space="preserve">65 HDPE Pipe/metre   </t>
  </si>
  <si>
    <t xml:space="preserve">50 HDPE Pipe/metre   </t>
  </si>
  <si>
    <t xml:space="preserve">40 HDPE Pipe/metre   </t>
  </si>
  <si>
    <t xml:space="preserve">32 HDPE Pipe/metre   </t>
  </si>
  <si>
    <t xml:space="preserve">25 HDPE Pipe/metre   </t>
  </si>
  <si>
    <t xml:space="preserve">20 HDPE Pipe/metre   </t>
  </si>
  <si>
    <t xml:space="preserve">100 HDPE Bend  </t>
  </si>
  <si>
    <t xml:space="preserve">80 HDPE Bend  </t>
  </si>
  <si>
    <t xml:space="preserve">65 HDPE Bend  </t>
  </si>
  <si>
    <t xml:space="preserve">50 HDPE Bend  </t>
  </si>
  <si>
    <t xml:space="preserve">40 HDPE Bend  </t>
  </si>
  <si>
    <t xml:space="preserve">32 HDPE Bend  </t>
  </si>
  <si>
    <t xml:space="preserve">25 HDPE Bend  </t>
  </si>
  <si>
    <t xml:space="preserve">20 HDPE Bend  </t>
  </si>
  <si>
    <t xml:space="preserve">100 HDPE Tee  </t>
  </si>
  <si>
    <t xml:space="preserve">80 HDPE Tee  </t>
  </si>
  <si>
    <t xml:space="preserve">65 HDPE Tee  </t>
  </si>
  <si>
    <t xml:space="preserve">50 HDPE Tee  </t>
  </si>
  <si>
    <t xml:space="preserve">40 HDPE Tee  </t>
  </si>
  <si>
    <t xml:space="preserve">32 HDPE Tee  </t>
  </si>
  <si>
    <t xml:space="preserve">25 HDPE Tee  </t>
  </si>
  <si>
    <t xml:space="preserve">20 HDPE Tee  </t>
  </si>
  <si>
    <t>80 Gate Valve</t>
  </si>
  <si>
    <t>65 Gate Valve</t>
  </si>
  <si>
    <t>50 Ball Valve</t>
  </si>
  <si>
    <t>40 Ball Valve</t>
  </si>
  <si>
    <t>32 Ball Valve</t>
  </si>
  <si>
    <t>25 Ball Valve</t>
  </si>
  <si>
    <t>20 Ball Valve</t>
  </si>
  <si>
    <t>15 Ball Valve</t>
  </si>
  <si>
    <t xml:space="preserve">100 Swing Check Valve  </t>
  </si>
  <si>
    <t xml:space="preserve">80 Swing Check Valve  </t>
  </si>
  <si>
    <t xml:space="preserve">65 Swing Check Valve  </t>
  </si>
  <si>
    <t xml:space="preserve">50 Swing Check Valve  </t>
  </si>
  <si>
    <t xml:space="preserve">40 Swing Check Valve  </t>
  </si>
  <si>
    <t>32mm Double Check Valve</t>
  </si>
  <si>
    <t>25mm Double Check Valve</t>
  </si>
  <si>
    <t>20mm Double Check Valve</t>
  </si>
  <si>
    <t>100 RPZD</t>
  </si>
  <si>
    <t>80 RPZD</t>
  </si>
  <si>
    <t>50 RPZD</t>
  </si>
  <si>
    <t>40 RPZD</t>
  </si>
  <si>
    <t>32 RPZD</t>
  </si>
  <si>
    <t>25 RPZD</t>
  </si>
  <si>
    <t>20 RPZD</t>
  </si>
  <si>
    <t>50 Bronze Gate Valve</t>
  </si>
  <si>
    <t>40 Bronze Gate Valve</t>
  </si>
  <si>
    <t>32 Bronze Gate Valve</t>
  </si>
  <si>
    <t>25 Bronze Gate Valve</t>
  </si>
  <si>
    <t>20 Bronze Gate Valve</t>
  </si>
  <si>
    <t>15 Bronze Gate Valve</t>
  </si>
  <si>
    <t xml:space="preserve">32 water meter </t>
  </si>
  <si>
    <t xml:space="preserve">25 water meter </t>
  </si>
  <si>
    <t xml:space="preserve">20 water meter </t>
  </si>
  <si>
    <t>32 Pressure limiting valve</t>
  </si>
  <si>
    <t>25 Pressure limiting valve</t>
  </si>
  <si>
    <t>20 Pressure limiting valve</t>
  </si>
  <si>
    <t>20 Hose Tap</t>
  </si>
  <si>
    <t>15 trap primer</t>
  </si>
  <si>
    <t>40 cap to end of pipe</t>
  </si>
  <si>
    <t xml:space="preserve">Recycled Water Services
</t>
  </si>
  <si>
    <t>32 water meter</t>
  </si>
  <si>
    <t>25 capped</t>
  </si>
  <si>
    <t>Hot Water Services</t>
  </si>
  <si>
    <t xml:space="preserve">80 Thermal lagging &amp; sheathing Pipe/metre </t>
  </si>
  <si>
    <t>65 Thermal lagging &amp; sheathing Pipe/metre</t>
  </si>
  <si>
    <t>50 Thermal lagging &amp; sheathing Pipe/metre</t>
  </si>
  <si>
    <t>40 Thermal lagging &amp; sheathing Pipe/metre</t>
  </si>
  <si>
    <t>32 Thermal lagging &amp; sheathing Pipe/metre</t>
  </si>
  <si>
    <t>25 Thermal lagging &amp; sheathing Pipe/metre</t>
  </si>
  <si>
    <t>20 Thermal lagging &amp; sheathing Pipe/metre</t>
  </si>
  <si>
    <t xml:space="preserve">15 Thermal lagging &amp; sheathing Pipe/metre  </t>
  </si>
  <si>
    <t>80mm - Thermal Lagging / metre</t>
  </si>
  <si>
    <t>65mm - Thermal Lagging / metre</t>
  </si>
  <si>
    <t>50mm - Thermal Lagging / metre</t>
  </si>
  <si>
    <t>40mm - Thermal Lagging / metre</t>
  </si>
  <si>
    <t>32mm - Thermal Lagging / metre</t>
  </si>
  <si>
    <t>25mm - Thermal Lagging / metre</t>
  </si>
  <si>
    <t>20mm - Thermal Lagging / metre</t>
  </si>
  <si>
    <t>15mm - Thermal Lagging / metre</t>
  </si>
  <si>
    <t>80 Thermal lagging &amp; sheathing, copper Bend</t>
  </si>
  <si>
    <t>65 Thermal lagging &amp; sheathing, copper Bend</t>
  </si>
  <si>
    <t>50 Thermal lagging &amp; sheathing, copper Bend</t>
  </si>
  <si>
    <t>40 Thermal lagging &amp; sheathing, copper Bend</t>
  </si>
  <si>
    <t>32 Thermal lagging &amp; sheathing copper Bend</t>
  </si>
  <si>
    <t>25 Thermal lagging &amp; sheathing, copper Bend</t>
  </si>
  <si>
    <t>20 Thermal lagging &amp; sheathing, copper Bend</t>
  </si>
  <si>
    <t>15 Thermal lagging &amp; sheathing, copper Bend</t>
  </si>
  <si>
    <t>80mm - Thermal Lagging / bend</t>
  </si>
  <si>
    <t>65mm - Thermal Lagging / bend</t>
  </si>
  <si>
    <t>50mm - Thermal Lagging / bend</t>
  </si>
  <si>
    <t>40mm - Thermal Lagging / bend</t>
  </si>
  <si>
    <t>32mm - Thermal Lagging / bend</t>
  </si>
  <si>
    <t>25mm - Thermal Lagging / bend</t>
  </si>
  <si>
    <t>20mm - Thermal Lagging / bend</t>
  </si>
  <si>
    <t>15mm - Thermal Lagging / bend</t>
  </si>
  <si>
    <t>80 Thermal lagging &amp; sheathing, copper Tee</t>
  </si>
  <si>
    <t>65 Thermal lagging &amp; sheathing, copper Tee</t>
  </si>
  <si>
    <t>50 Thermal lagging &amp; sheathing, copper Tee</t>
  </si>
  <si>
    <t>40 Thermal lagging &amp; sheathing copper Tee</t>
  </si>
  <si>
    <t>32 Thermal lagging &amp; sheathing copper Tee</t>
  </si>
  <si>
    <t>25 Thermal lagging &amp; sheathing copper Tee</t>
  </si>
  <si>
    <t>20 Thermal lagging &amp; sheathing, copper Tee</t>
  </si>
  <si>
    <t>15 Thermal lagging &amp; sheathing copper Tee</t>
  </si>
  <si>
    <t>50mm - Thermal Lagging / Tee</t>
  </si>
  <si>
    <t>40mm - Thermal Lagging / Tee</t>
  </si>
  <si>
    <t>32mm - Thermal Lagging / Tee</t>
  </si>
  <si>
    <t>25mm - Thermal Lagging / Tee</t>
  </si>
  <si>
    <t>20mm - Thermal Lagging / Tee</t>
  </si>
  <si>
    <t>15mm - Thermal Lagging / Tee</t>
  </si>
  <si>
    <t>50 STAD Valve</t>
  </si>
  <si>
    <t>40 STAD Valve</t>
  </si>
  <si>
    <t>32 STAD Valve</t>
  </si>
  <si>
    <t>24 STAD Valve</t>
  </si>
  <si>
    <t>20 STAD Valve</t>
  </si>
  <si>
    <t>15 STAD Valve</t>
  </si>
  <si>
    <t xml:space="preserve">STAD and STAF microprocessor computer balancing device  </t>
  </si>
  <si>
    <t>32 water meter (install only. Supplied by others)</t>
  </si>
  <si>
    <t>25 water meter (install only. Supplied by others)</t>
  </si>
  <si>
    <t>20 water meter (install only. Supplied by others)</t>
  </si>
  <si>
    <t>Thermostatic mixing valve</t>
  </si>
  <si>
    <t xml:space="preserve">RIR Water Services
</t>
  </si>
  <si>
    <t xml:space="preserve"> 80 Swing Check Valve  </t>
  </si>
  <si>
    <t xml:space="preserve"> 65 Swing Check Valve  </t>
  </si>
  <si>
    <t xml:space="preserve"> 50 Swing Check Valve  </t>
  </si>
  <si>
    <t xml:space="preserve"> 40 Swing Check Valve  </t>
  </si>
  <si>
    <t>25 water meter</t>
  </si>
  <si>
    <t>20 water meter</t>
  </si>
  <si>
    <t>Flues/Vents/Flashings</t>
  </si>
  <si>
    <t>100mm plant flue - straight pipe</t>
  </si>
  <si>
    <t>200mm plant flue - straight pipe</t>
  </si>
  <si>
    <t>300mm plant flue - straight pipe</t>
  </si>
  <si>
    <t>100mm plant flue - bend</t>
  </si>
  <si>
    <t>200mm plant flue - bend</t>
  </si>
  <si>
    <t>300mm plant flue - bend</t>
  </si>
  <si>
    <t>100mm plant flue - junction</t>
  </si>
  <si>
    <t>200mm plant flue - junction</t>
  </si>
  <si>
    <t>300mm plant flue - junction</t>
  </si>
  <si>
    <t>100mm plant flue - end cap</t>
  </si>
  <si>
    <t>200mm plant flue - end cap</t>
  </si>
  <si>
    <t>300mm plant flue - end cap</t>
  </si>
  <si>
    <t>100mm plant flue - draught diverter</t>
  </si>
  <si>
    <t>200mm plant flue - draught diverter</t>
  </si>
  <si>
    <t>300mm plant flue - draught diverter</t>
  </si>
  <si>
    <t>50mm  - weather apron (dectite)</t>
  </si>
  <si>
    <t>100mm  - weather apron (dectite)</t>
  </si>
  <si>
    <t>150mm  - weather apron (dectite)</t>
  </si>
  <si>
    <t>225mm  - weather apron (dectite)</t>
  </si>
  <si>
    <t>300mm  - weather apron (dectite)</t>
  </si>
  <si>
    <t>50mm  - cowl (PVC)</t>
  </si>
  <si>
    <t>100mm  - cowl (PVC)</t>
  </si>
  <si>
    <t>150mm  - cowl (PVC)</t>
  </si>
  <si>
    <t>225mm  - cowl (PVC)</t>
  </si>
  <si>
    <t>300mm  - cowl (PVC)</t>
  </si>
  <si>
    <t>150mm  - cowl (gas)</t>
  </si>
  <si>
    <t>225mm  - cowl (gas)</t>
  </si>
  <si>
    <t>300mm  - cowl (gas)</t>
  </si>
  <si>
    <t>OTHER PRICING - works below occcur concurrently with base build works for the relevent floor/area/service</t>
  </si>
  <si>
    <t>Supply and Installation of an additional Bucket Floor Trap during construction, including additional pipe to first junction at main drainage up to 12m length (PVC only, excludes coring)</t>
  </si>
  <si>
    <t>Extra over for acoustics to the above if required</t>
  </si>
  <si>
    <t>Supply and installation of an additional  Floor Waste Trap during construction, including additional pipe to first junction at main drainage up to 12m length (PVC only, excludes coring)</t>
  </si>
  <si>
    <t>Supply and installation of an additional Sink Waste during construction, including additional pipe to first junction at main drainage up to 12m length (PVC only, excludes coring)</t>
  </si>
  <si>
    <t>Slab Detection for Live Power Conduits &amp; Isolation for carrying out Additional drainage coreholes (1.5hrs allowance)</t>
  </si>
  <si>
    <t>Supply and Installation of Tundish &amp; Drain (PVC only, adjacent to existing stack, excludes condensate dranage and coring)</t>
  </si>
  <si>
    <t>Supply and Installation of Tundish &amp; Drain. Max. 12 mtr run (PVC only, excludes condensate dranage and coring)</t>
  </si>
  <si>
    <t>Supply and Installation of Sewer/Trade Waste Grade Pipework up to 100mm dia for Drainage Lines including bends, connections, joints etc. In Ground Works</t>
  </si>
  <si>
    <t>Cap and Make Good Redundant Drain Points (including make good/patching etc.). Up to Max 100mm core hole only and 100mm pipework</t>
  </si>
  <si>
    <t>Additional 20mm water supply point during co(max. 12 mtr run)</t>
  </si>
  <si>
    <t>Exclusions/Qualifications</t>
  </si>
  <si>
    <t>Excluded - All Core holes including engineer approval, core hole Permit applications, spotting and installing temporary peno covers</t>
  </si>
  <si>
    <t>Excluded - Costs for variation works not completed concurrently with base build works for a specific floor/area/service, ie out of sequence works</t>
  </si>
  <si>
    <t>Qualify - PVC has been used for all gravity drainage works not cast in concrete. HDPE only for grease waste and where sewer is to be castin into structure</t>
  </si>
  <si>
    <t>Excluded - Gravity drainage below Ground Floor and drainage turnups (to be completed by Basement contractor)</t>
  </si>
  <si>
    <t>Excluded - Acoustic lagging other than for drainage systems in office areas (excludes bathrooms, plantrooms,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</si>
</sst>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164" formatCode="&quot;$&quot;#,##0.00_);[Red]\(&quot;$&quot;#,##0.00\)"/>
    <numFmt numFmtId="165" formatCode="#,##0.00_ ;[Red]\-#,##0.00\ "/>
    <numFmt numFmtId="166" formatCode="&quot;$&quot;#,##0.00;[Red]&quot;$&quot;#,##0.00"/>
    <numFmt numFmtId="167" formatCode="0.0%"/>
    <numFmt numFmtId="168" formatCode="0.0000%"/>
    <numFmt numFmtId="169" formatCode="_(&quot;$&quot;* #,##0.00_);_(&quot;$&quot;* \(#,##0.00\);_(&quot;$&quot;* &quot;-&quot;??_);_(@_)"/>
    <numFmt numFmtId="170" formatCode="_(* #,##0.00_);_(* \(#,##0.00\);_(* &quot;-&quot;??_);_(@_)"/>
  </numFmts>
  <fonts count="20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rgb="FFFF0000"/>
      <name val="Arial Narrow"/>
      <family val="2"/>
    </font>
    <font>
      <b/>
      <sz val="16"/>
      <name val="Arial Narrow"/>
      <family val="2"/>
    </font>
    <font>
      <b/>
      <sz val="8"/>
      <name val="Arial"/>
      <family val="2"/>
    </font>
    <font>
      <b/>
      <sz val="14"/>
      <name val="Arial Narrow"/>
      <family val="2"/>
    </font>
    <font>
      <b/>
      <sz val="14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1"/>
      <color rgb="FF00B050"/>
      <name val="Arial Narrow"/>
      <family val="2"/>
    </font>
    <font>
      <b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sz val="10"/>
      <name val="Arial"/>
      <family val="2"/>
    </font>
    <font>
      <b/>
      <i/>
      <sz val="11"/>
      <name val="Arial Narrow"/>
      <family val="2"/>
    </font>
    <font>
      <b/>
      <sz val="11"/>
      <color theme="0"/>
      <name val="Arial Narrow"/>
      <family val="2"/>
    </font>
    <font>
      <b/>
      <sz val="16"/>
      <color rgb="FF00B050"/>
      <name val="Arial Narrow"/>
      <family val="2"/>
    </font>
    <font>
      <b/>
      <sz val="16"/>
      <color rgb="FFFF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5" fillId="0" borderId="0"/>
    <xf numFmtId="9" fontId="15" fillId="0" borderId="0" applyFont="0" applyFill="0" applyBorder="0" applyAlignment="0" applyProtection="0"/>
    <xf numFmtId="170" fontId="15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vertical="top"/>
    </xf>
    <xf numFmtId="0" fontId="9" fillId="0" borderId="0" xfId="3" applyFont="1"/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 applyProtection="1">
      <alignment horizontal="center" vertical="top" wrapText="1"/>
      <protection locked="0"/>
    </xf>
    <xf numFmtId="0" fontId="11" fillId="0" borderId="2" xfId="0" applyFont="1" applyBorder="1" applyAlignment="1" applyProtection="1">
      <alignment horizontal="center" vertical="top" wrapText="1"/>
      <protection locked="0"/>
    </xf>
    <xf numFmtId="0" fontId="11" fillId="0" borderId="3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164" fontId="11" fillId="0" borderId="8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3" fillId="2" borderId="5" xfId="0" applyFont="1" applyFill="1" applyBorder="1" applyAlignment="1">
      <alignment horizontal="left" vertical="center" wrapText="1"/>
    </xf>
    <xf numFmtId="0" fontId="12" fillId="0" borderId="10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4" fillId="0" borderId="12" xfId="0" applyNumberFormat="1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2" borderId="13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164" fontId="4" fillId="0" borderId="10" xfId="0" applyNumberFormat="1" applyFont="1" applyBorder="1" applyAlignment="1">
      <alignment horizontal="left" vertical="top"/>
    </xf>
    <xf numFmtId="164" fontId="3" fillId="0" borderId="10" xfId="0" applyNumberFormat="1" applyFont="1" applyBorder="1" applyAlignment="1">
      <alignment horizontal="left" vertical="top"/>
    </xf>
    <xf numFmtId="0" fontId="4" fillId="0" borderId="13" xfId="0" applyFont="1" applyBorder="1" applyAlignment="1">
      <alignment horizontal="justify" vertical="center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right" vertical="top" wrapText="1"/>
    </xf>
    <xf numFmtId="164" fontId="2" fillId="0" borderId="10" xfId="0" applyNumberFormat="1" applyFont="1" applyBorder="1" applyAlignment="1">
      <alignment horizontal="right" vertical="top" wrapText="1"/>
    </xf>
    <xf numFmtId="164" fontId="11" fillId="0" borderId="15" xfId="0" applyNumberFormat="1" applyFont="1" applyBorder="1" applyAlignment="1">
      <alignment horizontal="right" vertical="top" wrapText="1"/>
    </xf>
    <xf numFmtId="0" fontId="4" fillId="0" borderId="13" xfId="4" applyFont="1" applyBorder="1" applyAlignment="1">
      <alignment horizontal="justify" vertical="center"/>
    </xf>
    <xf numFmtId="0" fontId="13" fillId="0" borderId="10" xfId="4" applyFont="1" applyBorder="1" applyAlignment="1" applyProtection="1">
      <alignment horizontal="center" vertical="center" wrapText="1"/>
      <protection locked="0"/>
    </xf>
    <xf numFmtId="0" fontId="14" fillId="0" borderId="10" xfId="4" applyFont="1" applyBorder="1" applyAlignment="1" applyProtection="1">
      <alignment horizontal="center" vertical="center" wrapText="1"/>
      <protection locked="0"/>
    </xf>
    <xf numFmtId="0" fontId="2" fillId="0" borderId="14" xfId="4" applyFont="1" applyBorder="1" applyAlignment="1">
      <alignment horizontal="right" vertical="top" wrapText="1"/>
    </xf>
    <xf numFmtId="9" fontId="2" fillId="0" borderId="10" xfId="5" applyFont="1" applyFill="1" applyBorder="1" applyAlignment="1" applyProtection="1">
      <alignment horizontal="right" vertical="top" wrapText="1"/>
    </xf>
    <xf numFmtId="0" fontId="11" fillId="0" borderId="15" xfId="4" applyFont="1" applyBorder="1" applyAlignment="1">
      <alignment horizontal="center" vertical="top" wrapText="1"/>
    </xf>
    <xf numFmtId="8" fontId="11" fillId="0" borderId="15" xfId="4" applyNumberFormat="1" applyFont="1" applyBorder="1" applyAlignment="1">
      <alignment horizontal="right" vertical="top" wrapText="1"/>
    </xf>
    <xf numFmtId="0" fontId="3" fillId="3" borderId="1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top"/>
    </xf>
    <xf numFmtId="164" fontId="3" fillId="0" borderId="15" xfId="0" applyNumberFormat="1" applyFont="1" applyBorder="1" applyAlignment="1">
      <alignment horizontal="left" vertical="top"/>
    </xf>
    <xf numFmtId="165" fontId="2" fillId="0" borderId="14" xfId="0" applyNumberFormat="1" applyFont="1" applyBorder="1" applyAlignment="1">
      <alignment horizontal="right" vertical="top" wrapText="1"/>
    </xf>
    <xf numFmtId="166" fontId="2" fillId="0" borderId="0" xfId="0" applyNumberFormat="1" applyFont="1" applyAlignment="1">
      <alignment vertical="top"/>
    </xf>
    <xf numFmtId="167" fontId="2" fillId="0" borderId="0" xfId="2" applyNumberFormat="1" applyFont="1" applyAlignment="1">
      <alignment vertical="top"/>
    </xf>
    <xf numFmtId="10" fontId="0" fillId="0" borderId="0" xfId="2" applyNumberFormat="1" applyFont="1"/>
    <xf numFmtId="168" fontId="0" fillId="0" borderId="0" xfId="0" applyNumberFormat="1"/>
    <xf numFmtId="169" fontId="0" fillId="0" borderId="0" xfId="1" applyFont="1"/>
    <xf numFmtId="0" fontId="4" fillId="0" borderId="13" xfId="0" applyFont="1" applyBorder="1"/>
    <xf numFmtId="0" fontId="4" fillId="0" borderId="13" xfId="0" applyFont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 wrapText="1"/>
    </xf>
    <xf numFmtId="165" fontId="4" fillId="0" borderId="14" xfId="6" applyNumberFormat="1" applyFont="1" applyFill="1" applyBorder="1" applyAlignment="1" applyProtection="1">
      <alignment horizontal="left" vertical="top"/>
    </xf>
    <xf numFmtId="0" fontId="3" fillId="0" borderId="13" xfId="0" applyFont="1" applyBorder="1" applyAlignment="1">
      <alignment horizontal="left" wrapText="1"/>
    </xf>
    <xf numFmtId="165" fontId="2" fillId="0" borderId="14" xfId="6" applyNumberFormat="1" applyFont="1" applyFill="1" applyBorder="1" applyAlignment="1" applyProtection="1">
      <alignment horizontal="right" vertical="top" wrapText="1"/>
    </xf>
    <xf numFmtId="0" fontId="3" fillId="4" borderId="13" xfId="0" applyFont="1" applyFill="1" applyBorder="1" applyAlignment="1">
      <alignment horizontal="left"/>
    </xf>
    <xf numFmtId="165" fontId="4" fillId="0" borderId="14" xfId="0" applyNumberFormat="1" applyFont="1" applyBorder="1" applyAlignment="1">
      <alignment horizontal="left" vertical="top"/>
    </xf>
    <xf numFmtId="0" fontId="17" fillId="5" borderId="13" xfId="0" applyFont="1" applyFill="1" applyBorder="1" applyAlignment="1">
      <alignment horizontal="left" vertical="center"/>
    </xf>
    <xf numFmtId="0" fontId="17" fillId="6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top" wrapText="1"/>
    </xf>
    <xf numFmtId="0" fontId="3" fillId="7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7" fillId="8" borderId="13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166" fontId="0" fillId="0" borderId="0" xfId="0" applyNumberFormat="1"/>
    <xf numFmtId="0" fontId="15" fillId="0" borderId="0" xfId="0" applyFont="1"/>
    <xf numFmtId="0" fontId="6" fillId="0" borderId="16" xfId="0" applyFont="1" applyBorder="1" applyAlignment="1">
      <alignment vertical="center" wrapText="1"/>
    </xf>
    <xf numFmtId="0" fontId="18" fillId="0" borderId="17" xfId="0" applyFont="1" applyBorder="1" applyAlignment="1" applyProtection="1">
      <alignment horizontal="center" vertical="center" wrapText="1"/>
      <protection locked="0"/>
    </xf>
    <xf numFmtId="0" fontId="19" fillId="0" borderId="17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>
      <alignment horizontal="left"/>
    </xf>
    <xf numFmtId="0" fontId="2" fillId="0" borderId="10" xfId="0" applyFont="1" applyBorder="1"/>
    <xf numFmtId="0" fontId="3" fillId="2" borderId="16" xfId="0" applyFont="1" applyFill="1" applyBorder="1" applyAlignment="1">
      <alignment horizontal="left" vertical="center"/>
    </xf>
    <xf numFmtId="0" fontId="12" fillId="0" borderId="17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3" fillId="10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3" fillId="11" borderId="13" xfId="0" applyFont="1" applyFill="1" applyBorder="1" applyAlignment="1">
      <alignment horizontal="left" vertical="center"/>
    </xf>
    <xf numFmtId="0" fontId="3" fillId="12" borderId="13" xfId="0" applyFont="1" applyFill="1" applyBorder="1" applyAlignment="1">
      <alignment horizontal="left" vertical="center"/>
    </xf>
    <xf numFmtId="0" fontId="3" fillId="13" borderId="13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165" fontId="3" fillId="0" borderId="14" xfId="6" applyNumberFormat="1" applyFont="1" applyFill="1" applyBorder="1" applyAlignment="1" applyProtection="1">
      <alignment horizontal="left" vertical="center"/>
    </xf>
    <xf numFmtId="164" fontId="3" fillId="0" borderId="10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3" xfId="0" applyFont="1" applyBorder="1" applyAlignment="1">
      <alignment horizontal="justify" vertical="top"/>
    </xf>
    <xf numFmtId="0" fontId="8" fillId="0" borderId="13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3" fillId="0" borderId="10" xfId="0" applyFont="1" applyBorder="1" applyAlignment="1" applyProtection="1">
      <alignment horizontal="center" vertical="top" wrapText="1"/>
      <protection locked="0"/>
    </xf>
    <xf numFmtId="0" fontId="2" fillId="12" borderId="18" xfId="0" applyFont="1" applyFill="1" applyBorder="1"/>
    <xf numFmtId="0" fontId="2" fillId="12" borderId="19" xfId="0" applyFont="1" applyFill="1" applyBorder="1"/>
    <xf numFmtId="0" fontId="11" fillId="12" borderId="8" xfId="0" applyFont="1" applyFill="1" applyBorder="1" applyAlignment="1">
      <alignment horizontal="center" vertical="top" wrapText="1"/>
    </xf>
    <xf numFmtId="0" fontId="2" fillId="12" borderId="10" xfId="0" applyFont="1" applyFill="1" applyBorder="1" applyAlignment="1">
      <alignment horizontal="left"/>
    </xf>
    <xf numFmtId="0" fontId="11" fillId="12" borderId="20" xfId="0" applyFont="1" applyFill="1" applyBorder="1"/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9" xfId="0" applyFont="1" applyBorder="1"/>
    <xf numFmtId="0" fontId="11" fillId="0" borderId="20" xfId="0" applyFont="1" applyBorder="1"/>
    <xf numFmtId="0" fontId="2" fillId="0" borderId="10" xfId="0" applyFont="1" applyBorder="1" applyAlignment="1" applyProtection="1">
      <alignment horizontal="left"/>
      <protection locked="0"/>
    </xf>
  </cellXfs>
  <cellStyles count="7">
    <cellStyle name="Comma 4" xfId="6" xr:uid="{1CAC9A70-436F-4A66-853D-8C2BA99C5E64}"/>
    <cellStyle name="Currency" xfId="1" builtinId="4"/>
    <cellStyle name="Normal" xfId="0" builtinId="0"/>
    <cellStyle name="Normal 34" xfId="4" xr:uid="{FAE3C92D-2511-495F-B008-1034779561C3}"/>
    <cellStyle name="Normal_SHEET" xfId="3" xr:uid="{FC672841-214D-413B-9D08-E45143942C5A}"/>
    <cellStyle name="Percent" xfId="2" builtinId="5"/>
    <cellStyle name="Percent 2" xfId="5" xr:uid="{C9015742-9BC0-4746-A5B8-76B715E0CF84}"/>
  </cellStyles>
  <dxfs count="3">
    <dxf>
      <font>
        <strike val="0"/>
        <condense val="0"/>
        <extend val="0"/>
        <color indexed="9"/>
      </font>
    </dxf>
    <dxf>
      <font>
        <strike val="0"/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93A0-93D3-492C-8201-BE89FC0E14A8}">
  <dimension ref="A1:Q768"/>
  <sheetViews>
    <sheetView tabSelected="1" topLeftCell="B1" zoomScaleNormal="100" zoomScaleSheetLayoutView="100" workbookViewId="0">
      <selection activeCell="L9" sqref="L9"/>
    </sheetView>
  </sheetViews>
  <sheetFormatPr defaultRowHeight="12.75" x14ac:dyDescent="0.2"/>
  <cols>
    <col min="1" max="1" width="0" hidden="1" customWidth="1"/>
    <col min="2" max="2" width="42.5703125" style="107" customWidth="1"/>
    <col min="3" max="3" width="5.42578125" style="108" customWidth="1"/>
    <col min="4" max="4" width="6.140625" style="108" customWidth="1"/>
    <col min="5" max="5" width="5.7109375" style="109" customWidth="1"/>
    <col min="6" max="6" width="8" style="113" customWidth="1"/>
    <col min="7" max="7" width="13.85546875" style="108" customWidth="1"/>
    <col min="8" max="8" width="24" style="112" customWidth="1"/>
    <col min="9" max="9" width="10.5703125" style="1" bestFit="1" customWidth="1"/>
    <col min="10" max="10" width="10.5703125" style="1" customWidth="1"/>
    <col min="14" max="14" width="11.28515625" bestFit="1" customWidth="1"/>
    <col min="20" max="20" width="10.28515625" bestFit="1" customWidth="1"/>
    <col min="257" max="257" width="0" hidden="1" customWidth="1"/>
    <col min="258" max="258" width="42.5703125" customWidth="1"/>
    <col min="259" max="259" width="5.42578125" customWidth="1"/>
    <col min="260" max="260" width="6.140625" customWidth="1"/>
    <col min="261" max="261" width="5.7109375" customWidth="1"/>
    <col min="262" max="262" width="8" customWidth="1"/>
    <col min="263" max="263" width="13.85546875" customWidth="1"/>
    <col min="264" max="264" width="24" customWidth="1"/>
    <col min="265" max="265" width="10.5703125" bestFit="1" customWidth="1"/>
    <col min="266" max="266" width="10.5703125" customWidth="1"/>
    <col min="270" max="270" width="11.28515625" bestFit="1" customWidth="1"/>
    <col min="276" max="276" width="10.28515625" bestFit="1" customWidth="1"/>
    <col min="513" max="513" width="0" hidden="1" customWidth="1"/>
    <col min="514" max="514" width="42.5703125" customWidth="1"/>
    <col min="515" max="515" width="5.42578125" customWidth="1"/>
    <col min="516" max="516" width="6.140625" customWidth="1"/>
    <col min="517" max="517" width="5.7109375" customWidth="1"/>
    <col min="518" max="518" width="8" customWidth="1"/>
    <col min="519" max="519" width="13.85546875" customWidth="1"/>
    <col min="520" max="520" width="24" customWidth="1"/>
    <col min="521" max="521" width="10.5703125" bestFit="1" customWidth="1"/>
    <col min="522" max="522" width="10.5703125" customWidth="1"/>
    <col min="526" max="526" width="11.28515625" bestFit="1" customWidth="1"/>
    <col min="532" max="532" width="10.28515625" bestFit="1" customWidth="1"/>
    <col min="769" max="769" width="0" hidden="1" customWidth="1"/>
    <col min="770" max="770" width="42.5703125" customWidth="1"/>
    <col min="771" max="771" width="5.42578125" customWidth="1"/>
    <col min="772" max="772" width="6.140625" customWidth="1"/>
    <col min="773" max="773" width="5.7109375" customWidth="1"/>
    <col min="774" max="774" width="8" customWidth="1"/>
    <col min="775" max="775" width="13.85546875" customWidth="1"/>
    <col min="776" max="776" width="24" customWidth="1"/>
    <col min="777" max="777" width="10.5703125" bestFit="1" customWidth="1"/>
    <col min="778" max="778" width="10.5703125" customWidth="1"/>
    <col min="782" max="782" width="11.28515625" bestFit="1" customWidth="1"/>
    <col min="788" max="788" width="10.28515625" bestFit="1" customWidth="1"/>
    <col min="1025" max="1025" width="0" hidden="1" customWidth="1"/>
    <col min="1026" max="1026" width="42.5703125" customWidth="1"/>
    <col min="1027" max="1027" width="5.42578125" customWidth="1"/>
    <col min="1028" max="1028" width="6.140625" customWidth="1"/>
    <col min="1029" max="1029" width="5.7109375" customWidth="1"/>
    <col min="1030" max="1030" width="8" customWidth="1"/>
    <col min="1031" max="1031" width="13.85546875" customWidth="1"/>
    <col min="1032" max="1032" width="24" customWidth="1"/>
    <col min="1033" max="1033" width="10.5703125" bestFit="1" customWidth="1"/>
    <col min="1034" max="1034" width="10.5703125" customWidth="1"/>
    <col min="1038" max="1038" width="11.28515625" bestFit="1" customWidth="1"/>
    <col min="1044" max="1044" width="10.28515625" bestFit="1" customWidth="1"/>
    <col min="1281" max="1281" width="0" hidden="1" customWidth="1"/>
    <col min="1282" max="1282" width="42.5703125" customWidth="1"/>
    <col min="1283" max="1283" width="5.42578125" customWidth="1"/>
    <col min="1284" max="1284" width="6.140625" customWidth="1"/>
    <col min="1285" max="1285" width="5.7109375" customWidth="1"/>
    <col min="1286" max="1286" width="8" customWidth="1"/>
    <col min="1287" max="1287" width="13.85546875" customWidth="1"/>
    <col min="1288" max="1288" width="24" customWidth="1"/>
    <col min="1289" max="1289" width="10.5703125" bestFit="1" customWidth="1"/>
    <col min="1290" max="1290" width="10.5703125" customWidth="1"/>
    <col min="1294" max="1294" width="11.28515625" bestFit="1" customWidth="1"/>
    <col min="1300" max="1300" width="10.28515625" bestFit="1" customWidth="1"/>
    <col min="1537" max="1537" width="0" hidden="1" customWidth="1"/>
    <col min="1538" max="1538" width="42.5703125" customWidth="1"/>
    <col min="1539" max="1539" width="5.42578125" customWidth="1"/>
    <col min="1540" max="1540" width="6.140625" customWidth="1"/>
    <col min="1541" max="1541" width="5.7109375" customWidth="1"/>
    <col min="1542" max="1542" width="8" customWidth="1"/>
    <col min="1543" max="1543" width="13.85546875" customWidth="1"/>
    <col min="1544" max="1544" width="24" customWidth="1"/>
    <col min="1545" max="1545" width="10.5703125" bestFit="1" customWidth="1"/>
    <col min="1546" max="1546" width="10.5703125" customWidth="1"/>
    <col min="1550" max="1550" width="11.28515625" bestFit="1" customWidth="1"/>
    <col min="1556" max="1556" width="10.28515625" bestFit="1" customWidth="1"/>
    <col min="1793" max="1793" width="0" hidden="1" customWidth="1"/>
    <col min="1794" max="1794" width="42.5703125" customWidth="1"/>
    <col min="1795" max="1795" width="5.42578125" customWidth="1"/>
    <col min="1796" max="1796" width="6.140625" customWidth="1"/>
    <col min="1797" max="1797" width="5.7109375" customWidth="1"/>
    <col min="1798" max="1798" width="8" customWidth="1"/>
    <col min="1799" max="1799" width="13.85546875" customWidth="1"/>
    <col min="1800" max="1800" width="24" customWidth="1"/>
    <col min="1801" max="1801" width="10.5703125" bestFit="1" customWidth="1"/>
    <col min="1802" max="1802" width="10.5703125" customWidth="1"/>
    <col min="1806" max="1806" width="11.28515625" bestFit="1" customWidth="1"/>
    <col min="1812" max="1812" width="10.28515625" bestFit="1" customWidth="1"/>
    <col min="2049" max="2049" width="0" hidden="1" customWidth="1"/>
    <col min="2050" max="2050" width="42.5703125" customWidth="1"/>
    <col min="2051" max="2051" width="5.42578125" customWidth="1"/>
    <col min="2052" max="2052" width="6.140625" customWidth="1"/>
    <col min="2053" max="2053" width="5.7109375" customWidth="1"/>
    <col min="2054" max="2054" width="8" customWidth="1"/>
    <col min="2055" max="2055" width="13.85546875" customWidth="1"/>
    <col min="2056" max="2056" width="24" customWidth="1"/>
    <col min="2057" max="2057" width="10.5703125" bestFit="1" customWidth="1"/>
    <col min="2058" max="2058" width="10.5703125" customWidth="1"/>
    <col min="2062" max="2062" width="11.28515625" bestFit="1" customWidth="1"/>
    <col min="2068" max="2068" width="10.28515625" bestFit="1" customWidth="1"/>
    <col min="2305" max="2305" width="0" hidden="1" customWidth="1"/>
    <col min="2306" max="2306" width="42.5703125" customWidth="1"/>
    <col min="2307" max="2307" width="5.42578125" customWidth="1"/>
    <col min="2308" max="2308" width="6.140625" customWidth="1"/>
    <col min="2309" max="2309" width="5.7109375" customWidth="1"/>
    <col min="2310" max="2310" width="8" customWidth="1"/>
    <col min="2311" max="2311" width="13.85546875" customWidth="1"/>
    <col min="2312" max="2312" width="24" customWidth="1"/>
    <col min="2313" max="2313" width="10.5703125" bestFit="1" customWidth="1"/>
    <col min="2314" max="2314" width="10.5703125" customWidth="1"/>
    <col min="2318" max="2318" width="11.28515625" bestFit="1" customWidth="1"/>
    <col min="2324" max="2324" width="10.28515625" bestFit="1" customWidth="1"/>
    <col min="2561" max="2561" width="0" hidden="1" customWidth="1"/>
    <col min="2562" max="2562" width="42.5703125" customWidth="1"/>
    <col min="2563" max="2563" width="5.42578125" customWidth="1"/>
    <col min="2564" max="2564" width="6.140625" customWidth="1"/>
    <col min="2565" max="2565" width="5.7109375" customWidth="1"/>
    <col min="2566" max="2566" width="8" customWidth="1"/>
    <col min="2567" max="2567" width="13.85546875" customWidth="1"/>
    <col min="2568" max="2568" width="24" customWidth="1"/>
    <col min="2569" max="2569" width="10.5703125" bestFit="1" customWidth="1"/>
    <col min="2570" max="2570" width="10.5703125" customWidth="1"/>
    <col min="2574" max="2574" width="11.28515625" bestFit="1" customWidth="1"/>
    <col min="2580" max="2580" width="10.28515625" bestFit="1" customWidth="1"/>
    <col min="2817" max="2817" width="0" hidden="1" customWidth="1"/>
    <col min="2818" max="2818" width="42.5703125" customWidth="1"/>
    <col min="2819" max="2819" width="5.42578125" customWidth="1"/>
    <col min="2820" max="2820" width="6.140625" customWidth="1"/>
    <col min="2821" max="2821" width="5.7109375" customWidth="1"/>
    <col min="2822" max="2822" width="8" customWidth="1"/>
    <col min="2823" max="2823" width="13.85546875" customWidth="1"/>
    <col min="2824" max="2824" width="24" customWidth="1"/>
    <col min="2825" max="2825" width="10.5703125" bestFit="1" customWidth="1"/>
    <col min="2826" max="2826" width="10.5703125" customWidth="1"/>
    <col min="2830" max="2830" width="11.28515625" bestFit="1" customWidth="1"/>
    <col min="2836" max="2836" width="10.28515625" bestFit="1" customWidth="1"/>
    <col min="3073" max="3073" width="0" hidden="1" customWidth="1"/>
    <col min="3074" max="3074" width="42.5703125" customWidth="1"/>
    <col min="3075" max="3075" width="5.42578125" customWidth="1"/>
    <col min="3076" max="3076" width="6.140625" customWidth="1"/>
    <col min="3077" max="3077" width="5.7109375" customWidth="1"/>
    <col min="3078" max="3078" width="8" customWidth="1"/>
    <col min="3079" max="3079" width="13.85546875" customWidth="1"/>
    <col min="3080" max="3080" width="24" customWidth="1"/>
    <col min="3081" max="3081" width="10.5703125" bestFit="1" customWidth="1"/>
    <col min="3082" max="3082" width="10.5703125" customWidth="1"/>
    <col min="3086" max="3086" width="11.28515625" bestFit="1" customWidth="1"/>
    <col min="3092" max="3092" width="10.28515625" bestFit="1" customWidth="1"/>
    <col min="3329" max="3329" width="0" hidden="1" customWidth="1"/>
    <col min="3330" max="3330" width="42.5703125" customWidth="1"/>
    <col min="3331" max="3331" width="5.42578125" customWidth="1"/>
    <col min="3332" max="3332" width="6.140625" customWidth="1"/>
    <col min="3333" max="3333" width="5.7109375" customWidth="1"/>
    <col min="3334" max="3334" width="8" customWidth="1"/>
    <col min="3335" max="3335" width="13.85546875" customWidth="1"/>
    <col min="3336" max="3336" width="24" customWidth="1"/>
    <col min="3337" max="3337" width="10.5703125" bestFit="1" customWidth="1"/>
    <col min="3338" max="3338" width="10.5703125" customWidth="1"/>
    <col min="3342" max="3342" width="11.28515625" bestFit="1" customWidth="1"/>
    <col min="3348" max="3348" width="10.28515625" bestFit="1" customWidth="1"/>
    <col min="3585" max="3585" width="0" hidden="1" customWidth="1"/>
    <col min="3586" max="3586" width="42.5703125" customWidth="1"/>
    <col min="3587" max="3587" width="5.42578125" customWidth="1"/>
    <col min="3588" max="3588" width="6.140625" customWidth="1"/>
    <col min="3589" max="3589" width="5.7109375" customWidth="1"/>
    <col min="3590" max="3590" width="8" customWidth="1"/>
    <col min="3591" max="3591" width="13.85546875" customWidth="1"/>
    <col min="3592" max="3592" width="24" customWidth="1"/>
    <col min="3593" max="3593" width="10.5703125" bestFit="1" customWidth="1"/>
    <col min="3594" max="3594" width="10.5703125" customWidth="1"/>
    <col min="3598" max="3598" width="11.28515625" bestFit="1" customWidth="1"/>
    <col min="3604" max="3604" width="10.28515625" bestFit="1" customWidth="1"/>
    <col min="3841" max="3841" width="0" hidden="1" customWidth="1"/>
    <col min="3842" max="3842" width="42.5703125" customWidth="1"/>
    <col min="3843" max="3843" width="5.42578125" customWidth="1"/>
    <col min="3844" max="3844" width="6.140625" customWidth="1"/>
    <col min="3845" max="3845" width="5.7109375" customWidth="1"/>
    <col min="3846" max="3846" width="8" customWidth="1"/>
    <col min="3847" max="3847" width="13.85546875" customWidth="1"/>
    <col min="3848" max="3848" width="24" customWidth="1"/>
    <col min="3849" max="3849" width="10.5703125" bestFit="1" customWidth="1"/>
    <col min="3850" max="3850" width="10.5703125" customWidth="1"/>
    <col min="3854" max="3854" width="11.28515625" bestFit="1" customWidth="1"/>
    <col min="3860" max="3860" width="10.28515625" bestFit="1" customWidth="1"/>
    <col min="4097" max="4097" width="0" hidden="1" customWidth="1"/>
    <col min="4098" max="4098" width="42.5703125" customWidth="1"/>
    <col min="4099" max="4099" width="5.42578125" customWidth="1"/>
    <col min="4100" max="4100" width="6.140625" customWidth="1"/>
    <col min="4101" max="4101" width="5.7109375" customWidth="1"/>
    <col min="4102" max="4102" width="8" customWidth="1"/>
    <col min="4103" max="4103" width="13.85546875" customWidth="1"/>
    <col min="4104" max="4104" width="24" customWidth="1"/>
    <col min="4105" max="4105" width="10.5703125" bestFit="1" customWidth="1"/>
    <col min="4106" max="4106" width="10.5703125" customWidth="1"/>
    <col min="4110" max="4110" width="11.28515625" bestFit="1" customWidth="1"/>
    <col min="4116" max="4116" width="10.28515625" bestFit="1" customWidth="1"/>
    <col min="4353" max="4353" width="0" hidden="1" customWidth="1"/>
    <col min="4354" max="4354" width="42.5703125" customWidth="1"/>
    <col min="4355" max="4355" width="5.42578125" customWidth="1"/>
    <col min="4356" max="4356" width="6.140625" customWidth="1"/>
    <col min="4357" max="4357" width="5.7109375" customWidth="1"/>
    <col min="4358" max="4358" width="8" customWidth="1"/>
    <col min="4359" max="4359" width="13.85546875" customWidth="1"/>
    <col min="4360" max="4360" width="24" customWidth="1"/>
    <col min="4361" max="4361" width="10.5703125" bestFit="1" customWidth="1"/>
    <col min="4362" max="4362" width="10.5703125" customWidth="1"/>
    <col min="4366" max="4366" width="11.28515625" bestFit="1" customWidth="1"/>
    <col min="4372" max="4372" width="10.28515625" bestFit="1" customWidth="1"/>
    <col min="4609" max="4609" width="0" hidden="1" customWidth="1"/>
    <col min="4610" max="4610" width="42.5703125" customWidth="1"/>
    <col min="4611" max="4611" width="5.42578125" customWidth="1"/>
    <col min="4612" max="4612" width="6.140625" customWidth="1"/>
    <col min="4613" max="4613" width="5.7109375" customWidth="1"/>
    <col min="4614" max="4614" width="8" customWidth="1"/>
    <col min="4615" max="4615" width="13.85546875" customWidth="1"/>
    <col min="4616" max="4616" width="24" customWidth="1"/>
    <col min="4617" max="4617" width="10.5703125" bestFit="1" customWidth="1"/>
    <col min="4618" max="4618" width="10.5703125" customWidth="1"/>
    <col min="4622" max="4622" width="11.28515625" bestFit="1" customWidth="1"/>
    <col min="4628" max="4628" width="10.28515625" bestFit="1" customWidth="1"/>
    <col min="4865" max="4865" width="0" hidden="1" customWidth="1"/>
    <col min="4866" max="4866" width="42.5703125" customWidth="1"/>
    <col min="4867" max="4867" width="5.42578125" customWidth="1"/>
    <col min="4868" max="4868" width="6.140625" customWidth="1"/>
    <col min="4869" max="4869" width="5.7109375" customWidth="1"/>
    <col min="4870" max="4870" width="8" customWidth="1"/>
    <col min="4871" max="4871" width="13.85546875" customWidth="1"/>
    <col min="4872" max="4872" width="24" customWidth="1"/>
    <col min="4873" max="4873" width="10.5703125" bestFit="1" customWidth="1"/>
    <col min="4874" max="4874" width="10.5703125" customWidth="1"/>
    <col min="4878" max="4878" width="11.28515625" bestFit="1" customWidth="1"/>
    <col min="4884" max="4884" width="10.28515625" bestFit="1" customWidth="1"/>
    <col min="5121" max="5121" width="0" hidden="1" customWidth="1"/>
    <col min="5122" max="5122" width="42.5703125" customWidth="1"/>
    <col min="5123" max="5123" width="5.42578125" customWidth="1"/>
    <col min="5124" max="5124" width="6.140625" customWidth="1"/>
    <col min="5125" max="5125" width="5.7109375" customWidth="1"/>
    <col min="5126" max="5126" width="8" customWidth="1"/>
    <col min="5127" max="5127" width="13.85546875" customWidth="1"/>
    <col min="5128" max="5128" width="24" customWidth="1"/>
    <col min="5129" max="5129" width="10.5703125" bestFit="1" customWidth="1"/>
    <col min="5130" max="5130" width="10.5703125" customWidth="1"/>
    <col min="5134" max="5134" width="11.28515625" bestFit="1" customWidth="1"/>
    <col min="5140" max="5140" width="10.28515625" bestFit="1" customWidth="1"/>
    <col min="5377" max="5377" width="0" hidden="1" customWidth="1"/>
    <col min="5378" max="5378" width="42.5703125" customWidth="1"/>
    <col min="5379" max="5379" width="5.42578125" customWidth="1"/>
    <col min="5380" max="5380" width="6.140625" customWidth="1"/>
    <col min="5381" max="5381" width="5.7109375" customWidth="1"/>
    <col min="5382" max="5382" width="8" customWidth="1"/>
    <col min="5383" max="5383" width="13.85546875" customWidth="1"/>
    <col min="5384" max="5384" width="24" customWidth="1"/>
    <col min="5385" max="5385" width="10.5703125" bestFit="1" customWidth="1"/>
    <col min="5386" max="5386" width="10.5703125" customWidth="1"/>
    <col min="5390" max="5390" width="11.28515625" bestFit="1" customWidth="1"/>
    <col min="5396" max="5396" width="10.28515625" bestFit="1" customWidth="1"/>
    <col min="5633" max="5633" width="0" hidden="1" customWidth="1"/>
    <col min="5634" max="5634" width="42.5703125" customWidth="1"/>
    <col min="5635" max="5635" width="5.42578125" customWidth="1"/>
    <col min="5636" max="5636" width="6.140625" customWidth="1"/>
    <col min="5637" max="5637" width="5.7109375" customWidth="1"/>
    <col min="5638" max="5638" width="8" customWidth="1"/>
    <col min="5639" max="5639" width="13.85546875" customWidth="1"/>
    <col min="5640" max="5640" width="24" customWidth="1"/>
    <col min="5641" max="5641" width="10.5703125" bestFit="1" customWidth="1"/>
    <col min="5642" max="5642" width="10.5703125" customWidth="1"/>
    <col min="5646" max="5646" width="11.28515625" bestFit="1" customWidth="1"/>
    <col min="5652" max="5652" width="10.28515625" bestFit="1" customWidth="1"/>
    <col min="5889" max="5889" width="0" hidden="1" customWidth="1"/>
    <col min="5890" max="5890" width="42.5703125" customWidth="1"/>
    <col min="5891" max="5891" width="5.42578125" customWidth="1"/>
    <col min="5892" max="5892" width="6.140625" customWidth="1"/>
    <col min="5893" max="5893" width="5.7109375" customWidth="1"/>
    <col min="5894" max="5894" width="8" customWidth="1"/>
    <col min="5895" max="5895" width="13.85546875" customWidth="1"/>
    <col min="5896" max="5896" width="24" customWidth="1"/>
    <col min="5897" max="5897" width="10.5703125" bestFit="1" customWidth="1"/>
    <col min="5898" max="5898" width="10.5703125" customWidth="1"/>
    <col min="5902" max="5902" width="11.28515625" bestFit="1" customWidth="1"/>
    <col min="5908" max="5908" width="10.28515625" bestFit="1" customWidth="1"/>
    <col min="6145" max="6145" width="0" hidden="1" customWidth="1"/>
    <col min="6146" max="6146" width="42.5703125" customWidth="1"/>
    <col min="6147" max="6147" width="5.42578125" customWidth="1"/>
    <col min="6148" max="6148" width="6.140625" customWidth="1"/>
    <col min="6149" max="6149" width="5.7109375" customWidth="1"/>
    <col min="6150" max="6150" width="8" customWidth="1"/>
    <col min="6151" max="6151" width="13.85546875" customWidth="1"/>
    <col min="6152" max="6152" width="24" customWidth="1"/>
    <col min="6153" max="6153" width="10.5703125" bestFit="1" customWidth="1"/>
    <col min="6154" max="6154" width="10.5703125" customWidth="1"/>
    <col min="6158" max="6158" width="11.28515625" bestFit="1" customWidth="1"/>
    <col min="6164" max="6164" width="10.28515625" bestFit="1" customWidth="1"/>
    <col min="6401" max="6401" width="0" hidden="1" customWidth="1"/>
    <col min="6402" max="6402" width="42.5703125" customWidth="1"/>
    <col min="6403" max="6403" width="5.42578125" customWidth="1"/>
    <col min="6404" max="6404" width="6.140625" customWidth="1"/>
    <col min="6405" max="6405" width="5.7109375" customWidth="1"/>
    <col min="6406" max="6406" width="8" customWidth="1"/>
    <col min="6407" max="6407" width="13.85546875" customWidth="1"/>
    <col min="6408" max="6408" width="24" customWidth="1"/>
    <col min="6409" max="6409" width="10.5703125" bestFit="1" customWidth="1"/>
    <col min="6410" max="6410" width="10.5703125" customWidth="1"/>
    <col min="6414" max="6414" width="11.28515625" bestFit="1" customWidth="1"/>
    <col min="6420" max="6420" width="10.28515625" bestFit="1" customWidth="1"/>
    <col min="6657" max="6657" width="0" hidden="1" customWidth="1"/>
    <col min="6658" max="6658" width="42.5703125" customWidth="1"/>
    <col min="6659" max="6659" width="5.42578125" customWidth="1"/>
    <col min="6660" max="6660" width="6.140625" customWidth="1"/>
    <col min="6661" max="6661" width="5.7109375" customWidth="1"/>
    <col min="6662" max="6662" width="8" customWidth="1"/>
    <col min="6663" max="6663" width="13.85546875" customWidth="1"/>
    <col min="6664" max="6664" width="24" customWidth="1"/>
    <col min="6665" max="6665" width="10.5703125" bestFit="1" customWidth="1"/>
    <col min="6666" max="6666" width="10.5703125" customWidth="1"/>
    <col min="6670" max="6670" width="11.28515625" bestFit="1" customWidth="1"/>
    <col min="6676" max="6676" width="10.28515625" bestFit="1" customWidth="1"/>
    <col min="6913" max="6913" width="0" hidden="1" customWidth="1"/>
    <col min="6914" max="6914" width="42.5703125" customWidth="1"/>
    <col min="6915" max="6915" width="5.42578125" customWidth="1"/>
    <col min="6916" max="6916" width="6.140625" customWidth="1"/>
    <col min="6917" max="6917" width="5.7109375" customWidth="1"/>
    <col min="6918" max="6918" width="8" customWidth="1"/>
    <col min="6919" max="6919" width="13.85546875" customWidth="1"/>
    <col min="6920" max="6920" width="24" customWidth="1"/>
    <col min="6921" max="6921" width="10.5703125" bestFit="1" customWidth="1"/>
    <col min="6922" max="6922" width="10.5703125" customWidth="1"/>
    <col min="6926" max="6926" width="11.28515625" bestFit="1" customWidth="1"/>
    <col min="6932" max="6932" width="10.28515625" bestFit="1" customWidth="1"/>
    <col min="7169" max="7169" width="0" hidden="1" customWidth="1"/>
    <col min="7170" max="7170" width="42.5703125" customWidth="1"/>
    <col min="7171" max="7171" width="5.42578125" customWidth="1"/>
    <col min="7172" max="7172" width="6.140625" customWidth="1"/>
    <col min="7173" max="7173" width="5.7109375" customWidth="1"/>
    <col min="7174" max="7174" width="8" customWidth="1"/>
    <col min="7175" max="7175" width="13.85546875" customWidth="1"/>
    <col min="7176" max="7176" width="24" customWidth="1"/>
    <col min="7177" max="7177" width="10.5703125" bestFit="1" customWidth="1"/>
    <col min="7178" max="7178" width="10.5703125" customWidth="1"/>
    <col min="7182" max="7182" width="11.28515625" bestFit="1" customWidth="1"/>
    <col min="7188" max="7188" width="10.28515625" bestFit="1" customWidth="1"/>
    <col min="7425" max="7425" width="0" hidden="1" customWidth="1"/>
    <col min="7426" max="7426" width="42.5703125" customWidth="1"/>
    <col min="7427" max="7427" width="5.42578125" customWidth="1"/>
    <col min="7428" max="7428" width="6.140625" customWidth="1"/>
    <col min="7429" max="7429" width="5.7109375" customWidth="1"/>
    <col min="7430" max="7430" width="8" customWidth="1"/>
    <col min="7431" max="7431" width="13.85546875" customWidth="1"/>
    <col min="7432" max="7432" width="24" customWidth="1"/>
    <col min="7433" max="7433" width="10.5703125" bestFit="1" customWidth="1"/>
    <col min="7434" max="7434" width="10.5703125" customWidth="1"/>
    <col min="7438" max="7438" width="11.28515625" bestFit="1" customWidth="1"/>
    <col min="7444" max="7444" width="10.28515625" bestFit="1" customWidth="1"/>
    <col min="7681" max="7681" width="0" hidden="1" customWidth="1"/>
    <col min="7682" max="7682" width="42.5703125" customWidth="1"/>
    <col min="7683" max="7683" width="5.42578125" customWidth="1"/>
    <col min="7684" max="7684" width="6.140625" customWidth="1"/>
    <col min="7685" max="7685" width="5.7109375" customWidth="1"/>
    <col min="7686" max="7686" width="8" customWidth="1"/>
    <col min="7687" max="7687" width="13.85546875" customWidth="1"/>
    <col min="7688" max="7688" width="24" customWidth="1"/>
    <col min="7689" max="7689" width="10.5703125" bestFit="1" customWidth="1"/>
    <col min="7690" max="7690" width="10.5703125" customWidth="1"/>
    <col min="7694" max="7694" width="11.28515625" bestFit="1" customWidth="1"/>
    <col min="7700" max="7700" width="10.28515625" bestFit="1" customWidth="1"/>
    <col min="7937" max="7937" width="0" hidden="1" customWidth="1"/>
    <col min="7938" max="7938" width="42.5703125" customWidth="1"/>
    <col min="7939" max="7939" width="5.42578125" customWidth="1"/>
    <col min="7940" max="7940" width="6.140625" customWidth="1"/>
    <col min="7941" max="7941" width="5.7109375" customWidth="1"/>
    <col min="7942" max="7942" width="8" customWidth="1"/>
    <col min="7943" max="7943" width="13.85546875" customWidth="1"/>
    <col min="7944" max="7944" width="24" customWidth="1"/>
    <col min="7945" max="7945" width="10.5703125" bestFit="1" customWidth="1"/>
    <col min="7946" max="7946" width="10.5703125" customWidth="1"/>
    <col min="7950" max="7950" width="11.28515625" bestFit="1" customWidth="1"/>
    <col min="7956" max="7956" width="10.28515625" bestFit="1" customWidth="1"/>
    <col min="8193" max="8193" width="0" hidden="1" customWidth="1"/>
    <col min="8194" max="8194" width="42.5703125" customWidth="1"/>
    <col min="8195" max="8195" width="5.42578125" customWidth="1"/>
    <col min="8196" max="8196" width="6.140625" customWidth="1"/>
    <col min="8197" max="8197" width="5.7109375" customWidth="1"/>
    <col min="8198" max="8198" width="8" customWidth="1"/>
    <col min="8199" max="8199" width="13.85546875" customWidth="1"/>
    <col min="8200" max="8200" width="24" customWidth="1"/>
    <col min="8201" max="8201" width="10.5703125" bestFit="1" customWidth="1"/>
    <col min="8202" max="8202" width="10.5703125" customWidth="1"/>
    <col min="8206" max="8206" width="11.28515625" bestFit="1" customWidth="1"/>
    <col min="8212" max="8212" width="10.28515625" bestFit="1" customWidth="1"/>
    <col min="8449" max="8449" width="0" hidden="1" customWidth="1"/>
    <col min="8450" max="8450" width="42.5703125" customWidth="1"/>
    <col min="8451" max="8451" width="5.42578125" customWidth="1"/>
    <col min="8452" max="8452" width="6.140625" customWidth="1"/>
    <col min="8453" max="8453" width="5.7109375" customWidth="1"/>
    <col min="8454" max="8454" width="8" customWidth="1"/>
    <col min="8455" max="8455" width="13.85546875" customWidth="1"/>
    <col min="8456" max="8456" width="24" customWidth="1"/>
    <col min="8457" max="8457" width="10.5703125" bestFit="1" customWidth="1"/>
    <col min="8458" max="8458" width="10.5703125" customWidth="1"/>
    <col min="8462" max="8462" width="11.28515625" bestFit="1" customWidth="1"/>
    <col min="8468" max="8468" width="10.28515625" bestFit="1" customWidth="1"/>
    <col min="8705" max="8705" width="0" hidden="1" customWidth="1"/>
    <col min="8706" max="8706" width="42.5703125" customWidth="1"/>
    <col min="8707" max="8707" width="5.42578125" customWidth="1"/>
    <col min="8708" max="8708" width="6.140625" customWidth="1"/>
    <col min="8709" max="8709" width="5.7109375" customWidth="1"/>
    <col min="8710" max="8710" width="8" customWidth="1"/>
    <col min="8711" max="8711" width="13.85546875" customWidth="1"/>
    <col min="8712" max="8712" width="24" customWidth="1"/>
    <col min="8713" max="8713" width="10.5703125" bestFit="1" customWidth="1"/>
    <col min="8714" max="8714" width="10.5703125" customWidth="1"/>
    <col min="8718" max="8718" width="11.28515625" bestFit="1" customWidth="1"/>
    <col min="8724" max="8724" width="10.28515625" bestFit="1" customWidth="1"/>
    <col min="8961" max="8961" width="0" hidden="1" customWidth="1"/>
    <col min="8962" max="8962" width="42.5703125" customWidth="1"/>
    <col min="8963" max="8963" width="5.42578125" customWidth="1"/>
    <col min="8964" max="8964" width="6.140625" customWidth="1"/>
    <col min="8965" max="8965" width="5.7109375" customWidth="1"/>
    <col min="8966" max="8966" width="8" customWidth="1"/>
    <col min="8967" max="8967" width="13.85546875" customWidth="1"/>
    <col min="8968" max="8968" width="24" customWidth="1"/>
    <col min="8969" max="8969" width="10.5703125" bestFit="1" customWidth="1"/>
    <col min="8970" max="8970" width="10.5703125" customWidth="1"/>
    <col min="8974" max="8974" width="11.28515625" bestFit="1" customWidth="1"/>
    <col min="8980" max="8980" width="10.28515625" bestFit="1" customWidth="1"/>
    <col min="9217" max="9217" width="0" hidden="1" customWidth="1"/>
    <col min="9218" max="9218" width="42.5703125" customWidth="1"/>
    <col min="9219" max="9219" width="5.42578125" customWidth="1"/>
    <col min="9220" max="9220" width="6.140625" customWidth="1"/>
    <col min="9221" max="9221" width="5.7109375" customWidth="1"/>
    <col min="9222" max="9222" width="8" customWidth="1"/>
    <col min="9223" max="9223" width="13.85546875" customWidth="1"/>
    <col min="9224" max="9224" width="24" customWidth="1"/>
    <col min="9225" max="9225" width="10.5703125" bestFit="1" customWidth="1"/>
    <col min="9226" max="9226" width="10.5703125" customWidth="1"/>
    <col min="9230" max="9230" width="11.28515625" bestFit="1" customWidth="1"/>
    <col min="9236" max="9236" width="10.28515625" bestFit="1" customWidth="1"/>
    <col min="9473" max="9473" width="0" hidden="1" customWidth="1"/>
    <col min="9474" max="9474" width="42.5703125" customWidth="1"/>
    <col min="9475" max="9475" width="5.42578125" customWidth="1"/>
    <col min="9476" max="9476" width="6.140625" customWidth="1"/>
    <col min="9477" max="9477" width="5.7109375" customWidth="1"/>
    <col min="9478" max="9478" width="8" customWidth="1"/>
    <col min="9479" max="9479" width="13.85546875" customWidth="1"/>
    <col min="9480" max="9480" width="24" customWidth="1"/>
    <col min="9481" max="9481" width="10.5703125" bestFit="1" customWidth="1"/>
    <col min="9482" max="9482" width="10.5703125" customWidth="1"/>
    <col min="9486" max="9486" width="11.28515625" bestFit="1" customWidth="1"/>
    <col min="9492" max="9492" width="10.28515625" bestFit="1" customWidth="1"/>
    <col min="9729" max="9729" width="0" hidden="1" customWidth="1"/>
    <col min="9730" max="9730" width="42.5703125" customWidth="1"/>
    <col min="9731" max="9731" width="5.42578125" customWidth="1"/>
    <col min="9732" max="9732" width="6.140625" customWidth="1"/>
    <col min="9733" max="9733" width="5.7109375" customWidth="1"/>
    <col min="9734" max="9734" width="8" customWidth="1"/>
    <col min="9735" max="9735" width="13.85546875" customWidth="1"/>
    <col min="9736" max="9736" width="24" customWidth="1"/>
    <col min="9737" max="9737" width="10.5703125" bestFit="1" customWidth="1"/>
    <col min="9738" max="9738" width="10.5703125" customWidth="1"/>
    <col min="9742" max="9742" width="11.28515625" bestFit="1" customWidth="1"/>
    <col min="9748" max="9748" width="10.28515625" bestFit="1" customWidth="1"/>
    <col min="9985" max="9985" width="0" hidden="1" customWidth="1"/>
    <col min="9986" max="9986" width="42.5703125" customWidth="1"/>
    <col min="9987" max="9987" width="5.42578125" customWidth="1"/>
    <col min="9988" max="9988" width="6.140625" customWidth="1"/>
    <col min="9989" max="9989" width="5.7109375" customWidth="1"/>
    <col min="9990" max="9990" width="8" customWidth="1"/>
    <col min="9991" max="9991" width="13.85546875" customWidth="1"/>
    <col min="9992" max="9992" width="24" customWidth="1"/>
    <col min="9993" max="9993" width="10.5703125" bestFit="1" customWidth="1"/>
    <col min="9994" max="9994" width="10.5703125" customWidth="1"/>
    <col min="9998" max="9998" width="11.28515625" bestFit="1" customWidth="1"/>
    <col min="10004" max="10004" width="10.28515625" bestFit="1" customWidth="1"/>
    <col min="10241" max="10241" width="0" hidden="1" customWidth="1"/>
    <col min="10242" max="10242" width="42.5703125" customWidth="1"/>
    <col min="10243" max="10243" width="5.42578125" customWidth="1"/>
    <col min="10244" max="10244" width="6.140625" customWidth="1"/>
    <col min="10245" max="10245" width="5.7109375" customWidth="1"/>
    <col min="10246" max="10246" width="8" customWidth="1"/>
    <col min="10247" max="10247" width="13.85546875" customWidth="1"/>
    <col min="10248" max="10248" width="24" customWidth="1"/>
    <col min="10249" max="10249" width="10.5703125" bestFit="1" customWidth="1"/>
    <col min="10250" max="10250" width="10.5703125" customWidth="1"/>
    <col min="10254" max="10254" width="11.28515625" bestFit="1" customWidth="1"/>
    <col min="10260" max="10260" width="10.28515625" bestFit="1" customWidth="1"/>
    <col min="10497" max="10497" width="0" hidden="1" customWidth="1"/>
    <col min="10498" max="10498" width="42.5703125" customWidth="1"/>
    <col min="10499" max="10499" width="5.42578125" customWidth="1"/>
    <col min="10500" max="10500" width="6.140625" customWidth="1"/>
    <col min="10501" max="10501" width="5.7109375" customWidth="1"/>
    <col min="10502" max="10502" width="8" customWidth="1"/>
    <col min="10503" max="10503" width="13.85546875" customWidth="1"/>
    <col min="10504" max="10504" width="24" customWidth="1"/>
    <col min="10505" max="10505" width="10.5703125" bestFit="1" customWidth="1"/>
    <col min="10506" max="10506" width="10.5703125" customWidth="1"/>
    <col min="10510" max="10510" width="11.28515625" bestFit="1" customWidth="1"/>
    <col min="10516" max="10516" width="10.28515625" bestFit="1" customWidth="1"/>
    <col min="10753" max="10753" width="0" hidden="1" customWidth="1"/>
    <col min="10754" max="10754" width="42.5703125" customWidth="1"/>
    <col min="10755" max="10755" width="5.42578125" customWidth="1"/>
    <col min="10756" max="10756" width="6.140625" customWidth="1"/>
    <col min="10757" max="10757" width="5.7109375" customWidth="1"/>
    <col min="10758" max="10758" width="8" customWidth="1"/>
    <col min="10759" max="10759" width="13.85546875" customWidth="1"/>
    <col min="10760" max="10760" width="24" customWidth="1"/>
    <col min="10761" max="10761" width="10.5703125" bestFit="1" customWidth="1"/>
    <col min="10762" max="10762" width="10.5703125" customWidth="1"/>
    <col min="10766" max="10766" width="11.28515625" bestFit="1" customWidth="1"/>
    <col min="10772" max="10772" width="10.28515625" bestFit="1" customWidth="1"/>
    <col min="11009" max="11009" width="0" hidden="1" customWidth="1"/>
    <col min="11010" max="11010" width="42.5703125" customWidth="1"/>
    <col min="11011" max="11011" width="5.42578125" customWidth="1"/>
    <col min="11012" max="11012" width="6.140625" customWidth="1"/>
    <col min="11013" max="11013" width="5.7109375" customWidth="1"/>
    <col min="11014" max="11014" width="8" customWidth="1"/>
    <col min="11015" max="11015" width="13.85546875" customWidth="1"/>
    <col min="11016" max="11016" width="24" customWidth="1"/>
    <col min="11017" max="11017" width="10.5703125" bestFit="1" customWidth="1"/>
    <col min="11018" max="11018" width="10.5703125" customWidth="1"/>
    <col min="11022" max="11022" width="11.28515625" bestFit="1" customWidth="1"/>
    <col min="11028" max="11028" width="10.28515625" bestFit="1" customWidth="1"/>
    <col min="11265" max="11265" width="0" hidden="1" customWidth="1"/>
    <col min="11266" max="11266" width="42.5703125" customWidth="1"/>
    <col min="11267" max="11267" width="5.42578125" customWidth="1"/>
    <col min="11268" max="11268" width="6.140625" customWidth="1"/>
    <col min="11269" max="11269" width="5.7109375" customWidth="1"/>
    <col min="11270" max="11270" width="8" customWidth="1"/>
    <col min="11271" max="11271" width="13.85546875" customWidth="1"/>
    <col min="11272" max="11272" width="24" customWidth="1"/>
    <col min="11273" max="11273" width="10.5703125" bestFit="1" customWidth="1"/>
    <col min="11274" max="11274" width="10.5703125" customWidth="1"/>
    <col min="11278" max="11278" width="11.28515625" bestFit="1" customWidth="1"/>
    <col min="11284" max="11284" width="10.28515625" bestFit="1" customWidth="1"/>
    <col min="11521" max="11521" width="0" hidden="1" customWidth="1"/>
    <col min="11522" max="11522" width="42.5703125" customWidth="1"/>
    <col min="11523" max="11523" width="5.42578125" customWidth="1"/>
    <col min="11524" max="11524" width="6.140625" customWidth="1"/>
    <col min="11525" max="11525" width="5.7109375" customWidth="1"/>
    <col min="11526" max="11526" width="8" customWidth="1"/>
    <col min="11527" max="11527" width="13.85546875" customWidth="1"/>
    <col min="11528" max="11528" width="24" customWidth="1"/>
    <col min="11529" max="11529" width="10.5703125" bestFit="1" customWidth="1"/>
    <col min="11530" max="11530" width="10.5703125" customWidth="1"/>
    <col min="11534" max="11534" width="11.28515625" bestFit="1" customWidth="1"/>
    <col min="11540" max="11540" width="10.28515625" bestFit="1" customWidth="1"/>
    <col min="11777" max="11777" width="0" hidden="1" customWidth="1"/>
    <col min="11778" max="11778" width="42.5703125" customWidth="1"/>
    <col min="11779" max="11779" width="5.42578125" customWidth="1"/>
    <col min="11780" max="11780" width="6.140625" customWidth="1"/>
    <col min="11781" max="11781" width="5.7109375" customWidth="1"/>
    <col min="11782" max="11782" width="8" customWidth="1"/>
    <col min="11783" max="11783" width="13.85546875" customWidth="1"/>
    <col min="11784" max="11784" width="24" customWidth="1"/>
    <col min="11785" max="11785" width="10.5703125" bestFit="1" customWidth="1"/>
    <col min="11786" max="11786" width="10.5703125" customWidth="1"/>
    <col min="11790" max="11790" width="11.28515625" bestFit="1" customWidth="1"/>
    <col min="11796" max="11796" width="10.28515625" bestFit="1" customWidth="1"/>
    <col min="12033" max="12033" width="0" hidden="1" customWidth="1"/>
    <col min="12034" max="12034" width="42.5703125" customWidth="1"/>
    <col min="12035" max="12035" width="5.42578125" customWidth="1"/>
    <col min="12036" max="12036" width="6.140625" customWidth="1"/>
    <col min="12037" max="12037" width="5.7109375" customWidth="1"/>
    <col min="12038" max="12038" width="8" customWidth="1"/>
    <col min="12039" max="12039" width="13.85546875" customWidth="1"/>
    <col min="12040" max="12040" width="24" customWidth="1"/>
    <col min="12041" max="12041" width="10.5703125" bestFit="1" customWidth="1"/>
    <col min="12042" max="12042" width="10.5703125" customWidth="1"/>
    <col min="12046" max="12046" width="11.28515625" bestFit="1" customWidth="1"/>
    <col min="12052" max="12052" width="10.28515625" bestFit="1" customWidth="1"/>
    <col min="12289" max="12289" width="0" hidden="1" customWidth="1"/>
    <col min="12290" max="12290" width="42.5703125" customWidth="1"/>
    <col min="12291" max="12291" width="5.42578125" customWidth="1"/>
    <col min="12292" max="12292" width="6.140625" customWidth="1"/>
    <col min="12293" max="12293" width="5.7109375" customWidth="1"/>
    <col min="12294" max="12294" width="8" customWidth="1"/>
    <col min="12295" max="12295" width="13.85546875" customWidth="1"/>
    <col min="12296" max="12296" width="24" customWidth="1"/>
    <col min="12297" max="12297" width="10.5703125" bestFit="1" customWidth="1"/>
    <col min="12298" max="12298" width="10.5703125" customWidth="1"/>
    <col min="12302" max="12302" width="11.28515625" bestFit="1" customWidth="1"/>
    <col min="12308" max="12308" width="10.28515625" bestFit="1" customWidth="1"/>
    <col min="12545" max="12545" width="0" hidden="1" customWidth="1"/>
    <col min="12546" max="12546" width="42.5703125" customWidth="1"/>
    <col min="12547" max="12547" width="5.42578125" customWidth="1"/>
    <col min="12548" max="12548" width="6.140625" customWidth="1"/>
    <col min="12549" max="12549" width="5.7109375" customWidth="1"/>
    <col min="12550" max="12550" width="8" customWidth="1"/>
    <col min="12551" max="12551" width="13.85546875" customWidth="1"/>
    <col min="12552" max="12552" width="24" customWidth="1"/>
    <col min="12553" max="12553" width="10.5703125" bestFit="1" customWidth="1"/>
    <col min="12554" max="12554" width="10.5703125" customWidth="1"/>
    <col min="12558" max="12558" width="11.28515625" bestFit="1" customWidth="1"/>
    <col min="12564" max="12564" width="10.28515625" bestFit="1" customWidth="1"/>
    <col min="12801" max="12801" width="0" hidden="1" customWidth="1"/>
    <col min="12802" max="12802" width="42.5703125" customWidth="1"/>
    <col min="12803" max="12803" width="5.42578125" customWidth="1"/>
    <col min="12804" max="12804" width="6.140625" customWidth="1"/>
    <col min="12805" max="12805" width="5.7109375" customWidth="1"/>
    <col min="12806" max="12806" width="8" customWidth="1"/>
    <col min="12807" max="12807" width="13.85546875" customWidth="1"/>
    <col min="12808" max="12808" width="24" customWidth="1"/>
    <col min="12809" max="12809" width="10.5703125" bestFit="1" customWidth="1"/>
    <col min="12810" max="12810" width="10.5703125" customWidth="1"/>
    <col min="12814" max="12814" width="11.28515625" bestFit="1" customWidth="1"/>
    <col min="12820" max="12820" width="10.28515625" bestFit="1" customWidth="1"/>
    <col min="13057" max="13057" width="0" hidden="1" customWidth="1"/>
    <col min="13058" max="13058" width="42.5703125" customWidth="1"/>
    <col min="13059" max="13059" width="5.42578125" customWidth="1"/>
    <col min="13060" max="13060" width="6.140625" customWidth="1"/>
    <col min="13061" max="13061" width="5.7109375" customWidth="1"/>
    <col min="13062" max="13062" width="8" customWidth="1"/>
    <col min="13063" max="13063" width="13.85546875" customWidth="1"/>
    <col min="13064" max="13064" width="24" customWidth="1"/>
    <col min="13065" max="13065" width="10.5703125" bestFit="1" customWidth="1"/>
    <col min="13066" max="13066" width="10.5703125" customWidth="1"/>
    <col min="13070" max="13070" width="11.28515625" bestFit="1" customWidth="1"/>
    <col min="13076" max="13076" width="10.28515625" bestFit="1" customWidth="1"/>
    <col min="13313" max="13313" width="0" hidden="1" customWidth="1"/>
    <col min="13314" max="13314" width="42.5703125" customWidth="1"/>
    <col min="13315" max="13315" width="5.42578125" customWidth="1"/>
    <col min="13316" max="13316" width="6.140625" customWidth="1"/>
    <col min="13317" max="13317" width="5.7109375" customWidth="1"/>
    <col min="13318" max="13318" width="8" customWidth="1"/>
    <col min="13319" max="13319" width="13.85546875" customWidth="1"/>
    <col min="13320" max="13320" width="24" customWidth="1"/>
    <col min="13321" max="13321" width="10.5703125" bestFit="1" customWidth="1"/>
    <col min="13322" max="13322" width="10.5703125" customWidth="1"/>
    <col min="13326" max="13326" width="11.28515625" bestFit="1" customWidth="1"/>
    <col min="13332" max="13332" width="10.28515625" bestFit="1" customWidth="1"/>
    <col min="13569" max="13569" width="0" hidden="1" customWidth="1"/>
    <col min="13570" max="13570" width="42.5703125" customWidth="1"/>
    <col min="13571" max="13571" width="5.42578125" customWidth="1"/>
    <col min="13572" max="13572" width="6.140625" customWidth="1"/>
    <col min="13573" max="13573" width="5.7109375" customWidth="1"/>
    <col min="13574" max="13574" width="8" customWidth="1"/>
    <col min="13575" max="13575" width="13.85546875" customWidth="1"/>
    <col min="13576" max="13576" width="24" customWidth="1"/>
    <col min="13577" max="13577" width="10.5703125" bestFit="1" customWidth="1"/>
    <col min="13578" max="13578" width="10.5703125" customWidth="1"/>
    <col min="13582" max="13582" width="11.28515625" bestFit="1" customWidth="1"/>
    <col min="13588" max="13588" width="10.28515625" bestFit="1" customWidth="1"/>
    <col min="13825" max="13825" width="0" hidden="1" customWidth="1"/>
    <col min="13826" max="13826" width="42.5703125" customWidth="1"/>
    <col min="13827" max="13827" width="5.42578125" customWidth="1"/>
    <col min="13828" max="13828" width="6.140625" customWidth="1"/>
    <col min="13829" max="13829" width="5.7109375" customWidth="1"/>
    <col min="13830" max="13830" width="8" customWidth="1"/>
    <col min="13831" max="13831" width="13.85546875" customWidth="1"/>
    <col min="13832" max="13832" width="24" customWidth="1"/>
    <col min="13833" max="13833" width="10.5703125" bestFit="1" customWidth="1"/>
    <col min="13834" max="13834" width="10.5703125" customWidth="1"/>
    <col min="13838" max="13838" width="11.28515625" bestFit="1" customWidth="1"/>
    <col min="13844" max="13844" width="10.28515625" bestFit="1" customWidth="1"/>
    <col min="14081" max="14081" width="0" hidden="1" customWidth="1"/>
    <col min="14082" max="14082" width="42.5703125" customWidth="1"/>
    <col min="14083" max="14083" width="5.42578125" customWidth="1"/>
    <col min="14084" max="14084" width="6.140625" customWidth="1"/>
    <col min="14085" max="14085" width="5.7109375" customWidth="1"/>
    <col min="14086" max="14086" width="8" customWidth="1"/>
    <col min="14087" max="14087" width="13.85546875" customWidth="1"/>
    <col min="14088" max="14088" width="24" customWidth="1"/>
    <col min="14089" max="14089" width="10.5703125" bestFit="1" customWidth="1"/>
    <col min="14090" max="14090" width="10.5703125" customWidth="1"/>
    <col min="14094" max="14094" width="11.28515625" bestFit="1" customWidth="1"/>
    <col min="14100" max="14100" width="10.28515625" bestFit="1" customWidth="1"/>
    <col min="14337" max="14337" width="0" hidden="1" customWidth="1"/>
    <col min="14338" max="14338" width="42.5703125" customWidth="1"/>
    <col min="14339" max="14339" width="5.42578125" customWidth="1"/>
    <col min="14340" max="14340" width="6.140625" customWidth="1"/>
    <col min="14341" max="14341" width="5.7109375" customWidth="1"/>
    <col min="14342" max="14342" width="8" customWidth="1"/>
    <col min="14343" max="14343" width="13.85546875" customWidth="1"/>
    <col min="14344" max="14344" width="24" customWidth="1"/>
    <col min="14345" max="14345" width="10.5703125" bestFit="1" customWidth="1"/>
    <col min="14346" max="14346" width="10.5703125" customWidth="1"/>
    <col min="14350" max="14350" width="11.28515625" bestFit="1" customWidth="1"/>
    <col min="14356" max="14356" width="10.28515625" bestFit="1" customWidth="1"/>
    <col min="14593" max="14593" width="0" hidden="1" customWidth="1"/>
    <col min="14594" max="14594" width="42.5703125" customWidth="1"/>
    <col min="14595" max="14595" width="5.42578125" customWidth="1"/>
    <col min="14596" max="14596" width="6.140625" customWidth="1"/>
    <col min="14597" max="14597" width="5.7109375" customWidth="1"/>
    <col min="14598" max="14598" width="8" customWidth="1"/>
    <col min="14599" max="14599" width="13.85546875" customWidth="1"/>
    <col min="14600" max="14600" width="24" customWidth="1"/>
    <col min="14601" max="14601" width="10.5703125" bestFit="1" customWidth="1"/>
    <col min="14602" max="14602" width="10.5703125" customWidth="1"/>
    <col min="14606" max="14606" width="11.28515625" bestFit="1" customWidth="1"/>
    <col min="14612" max="14612" width="10.28515625" bestFit="1" customWidth="1"/>
    <col min="14849" max="14849" width="0" hidden="1" customWidth="1"/>
    <col min="14850" max="14850" width="42.5703125" customWidth="1"/>
    <col min="14851" max="14851" width="5.42578125" customWidth="1"/>
    <col min="14852" max="14852" width="6.140625" customWidth="1"/>
    <col min="14853" max="14853" width="5.7109375" customWidth="1"/>
    <col min="14854" max="14854" width="8" customWidth="1"/>
    <col min="14855" max="14855" width="13.85546875" customWidth="1"/>
    <col min="14856" max="14856" width="24" customWidth="1"/>
    <col min="14857" max="14857" width="10.5703125" bestFit="1" customWidth="1"/>
    <col min="14858" max="14858" width="10.5703125" customWidth="1"/>
    <col min="14862" max="14862" width="11.28515625" bestFit="1" customWidth="1"/>
    <col min="14868" max="14868" width="10.28515625" bestFit="1" customWidth="1"/>
    <col min="15105" max="15105" width="0" hidden="1" customWidth="1"/>
    <col min="15106" max="15106" width="42.5703125" customWidth="1"/>
    <col min="15107" max="15107" width="5.42578125" customWidth="1"/>
    <col min="15108" max="15108" width="6.140625" customWidth="1"/>
    <col min="15109" max="15109" width="5.7109375" customWidth="1"/>
    <col min="15110" max="15110" width="8" customWidth="1"/>
    <col min="15111" max="15111" width="13.85546875" customWidth="1"/>
    <col min="15112" max="15112" width="24" customWidth="1"/>
    <col min="15113" max="15113" width="10.5703125" bestFit="1" customWidth="1"/>
    <col min="15114" max="15114" width="10.5703125" customWidth="1"/>
    <col min="15118" max="15118" width="11.28515625" bestFit="1" customWidth="1"/>
    <col min="15124" max="15124" width="10.28515625" bestFit="1" customWidth="1"/>
    <col min="15361" max="15361" width="0" hidden="1" customWidth="1"/>
    <col min="15362" max="15362" width="42.5703125" customWidth="1"/>
    <col min="15363" max="15363" width="5.42578125" customWidth="1"/>
    <col min="15364" max="15364" width="6.140625" customWidth="1"/>
    <col min="15365" max="15365" width="5.7109375" customWidth="1"/>
    <col min="15366" max="15366" width="8" customWidth="1"/>
    <col min="15367" max="15367" width="13.85546875" customWidth="1"/>
    <col min="15368" max="15368" width="24" customWidth="1"/>
    <col min="15369" max="15369" width="10.5703125" bestFit="1" customWidth="1"/>
    <col min="15370" max="15370" width="10.5703125" customWidth="1"/>
    <col min="15374" max="15374" width="11.28515625" bestFit="1" customWidth="1"/>
    <col min="15380" max="15380" width="10.28515625" bestFit="1" customWidth="1"/>
    <col min="15617" max="15617" width="0" hidden="1" customWidth="1"/>
    <col min="15618" max="15618" width="42.5703125" customWidth="1"/>
    <col min="15619" max="15619" width="5.42578125" customWidth="1"/>
    <col min="15620" max="15620" width="6.140625" customWidth="1"/>
    <col min="15621" max="15621" width="5.7109375" customWidth="1"/>
    <col min="15622" max="15622" width="8" customWidth="1"/>
    <col min="15623" max="15623" width="13.85546875" customWidth="1"/>
    <col min="15624" max="15624" width="24" customWidth="1"/>
    <col min="15625" max="15625" width="10.5703125" bestFit="1" customWidth="1"/>
    <col min="15626" max="15626" width="10.5703125" customWidth="1"/>
    <col min="15630" max="15630" width="11.28515625" bestFit="1" customWidth="1"/>
    <col min="15636" max="15636" width="10.28515625" bestFit="1" customWidth="1"/>
    <col min="15873" max="15873" width="0" hidden="1" customWidth="1"/>
    <col min="15874" max="15874" width="42.5703125" customWidth="1"/>
    <col min="15875" max="15875" width="5.42578125" customWidth="1"/>
    <col min="15876" max="15876" width="6.140625" customWidth="1"/>
    <col min="15877" max="15877" width="5.7109375" customWidth="1"/>
    <col min="15878" max="15878" width="8" customWidth="1"/>
    <col min="15879" max="15879" width="13.85546875" customWidth="1"/>
    <col min="15880" max="15880" width="24" customWidth="1"/>
    <col min="15881" max="15881" width="10.5703125" bestFit="1" customWidth="1"/>
    <col min="15882" max="15882" width="10.5703125" customWidth="1"/>
    <col min="15886" max="15886" width="11.28515625" bestFit="1" customWidth="1"/>
    <col min="15892" max="15892" width="10.28515625" bestFit="1" customWidth="1"/>
    <col min="16129" max="16129" width="0" hidden="1" customWidth="1"/>
    <col min="16130" max="16130" width="42.5703125" customWidth="1"/>
    <col min="16131" max="16131" width="5.42578125" customWidth="1"/>
    <col min="16132" max="16132" width="6.140625" customWidth="1"/>
    <col min="16133" max="16133" width="5.7109375" customWidth="1"/>
    <col min="16134" max="16134" width="8" customWidth="1"/>
    <col min="16135" max="16135" width="13.85546875" customWidth="1"/>
    <col min="16136" max="16136" width="24" customWidth="1"/>
    <col min="16137" max="16137" width="10.5703125" bestFit="1" customWidth="1"/>
    <col min="16138" max="16138" width="10.5703125" customWidth="1"/>
    <col min="16142" max="16142" width="11.28515625" bestFit="1" customWidth="1"/>
    <col min="16148" max="16148" width="10.28515625" bestFit="1" customWidth="1"/>
  </cols>
  <sheetData>
    <row r="1" spans="1:14" s="3" customFormat="1" ht="23.25" customHeight="1" x14ac:dyDescent="0.2">
      <c r="B1" s="4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9" t="s">
        <v>5</v>
      </c>
      <c r="H1" s="10" t="s">
        <v>6</v>
      </c>
      <c r="I1" s="11"/>
      <c r="J1" s="11"/>
    </row>
    <row r="2" spans="1:14" s="3" customFormat="1" ht="13.5" customHeight="1" x14ac:dyDescent="0.2">
      <c r="B2" s="12"/>
      <c r="C2" s="13"/>
      <c r="D2" s="14"/>
      <c r="E2" s="15"/>
      <c r="F2" s="16"/>
      <c r="G2" s="17"/>
      <c r="H2" s="18"/>
      <c r="I2" s="11"/>
      <c r="J2" s="11"/>
    </row>
    <row r="3" spans="1:14" s="19" customFormat="1" ht="49.5" x14ac:dyDescent="0.3">
      <c r="A3" s="19">
        <v>1</v>
      </c>
      <c r="B3" s="20" t="s">
        <v>7</v>
      </c>
      <c r="C3" s="21"/>
      <c r="D3" s="22"/>
      <c r="E3" s="23"/>
      <c r="F3" s="24"/>
      <c r="G3" s="25"/>
      <c r="H3" s="26">
        <f>E3*G3</f>
        <v>0</v>
      </c>
      <c r="I3" s="27"/>
      <c r="J3" s="27"/>
    </row>
    <row r="4" spans="1:14" s="19" customFormat="1" ht="33.75" customHeight="1" x14ac:dyDescent="0.3">
      <c r="A4" s="19">
        <v>2</v>
      </c>
      <c r="B4" s="28" t="s">
        <v>8</v>
      </c>
      <c r="C4" s="21"/>
      <c r="D4" s="22"/>
      <c r="E4" s="29"/>
      <c r="F4" s="30"/>
      <c r="G4" s="31"/>
      <c r="H4" s="32">
        <f>E4*G4</f>
        <v>0</v>
      </c>
      <c r="I4" s="27"/>
      <c r="J4" s="27"/>
    </row>
    <row r="5" spans="1:14" ht="16.5" customHeight="1" x14ac:dyDescent="0.2">
      <c r="A5">
        <v>3</v>
      </c>
      <c r="B5" s="33" t="s">
        <v>9</v>
      </c>
      <c r="C5" s="34"/>
      <c r="D5" s="35"/>
      <c r="E5" s="36">
        <f t="shared" ref="E5:E13" si="0">SUM(C5:D5)</f>
        <v>0</v>
      </c>
      <c r="F5" s="37" t="s">
        <v>10</v>
      </c>
      <c r="G5" s="38">
        <v>184</v>
      </c>
      <c r="H5" s="39">
        <f t="shared" ref="H5:H68" si="1">E5*G5</f>
        <v>0</v>
      </c>
    </row>
    <row r="6" spans="1:14" ht="16.5" customHeight="1" x14ac:dyDescent="0.2">
      <c r="A6">
        <v>5</v>
      </c>
      <c r="B6" s="33" t="s">
        <v>11</v>
      </c>
      <c r="C6" s="34"/>
      <c r="D6" s="35"/>
      <c r="E6" s="36">
        <f t="shared" si="0"/>
        <v>0</v>
      </c>
      <c r="F6" s="37" t="s">
        <v>10</v>
      </c>
      <c r="G6" s="38">
        <v>272</v>
      </c>
      <c r="H6" s="39">
        <f t="shared" si="1"/>
        <v>0</v>
      </c>
    </row>
    <row r="7" spans="1:14" ht="16.5" customHeight="1" x14ac:dyDescent="0.2">
      <c r="A7">
        <v>6</v>
      </c>
      <c r="B7" s="33" t="s">
        <v>12</v>
      </c>
      <c r="C7" s="34"/>
      <c r="D7" s="35"/>
      <c r="E7" s="36">
        <f t="shared" si="0"/>
        <v>0</v>
      </c>
      <c r="F7" s="37" t="s">
        <v>10</v>
      </c>
      <c r="G7" s="38">
        <v>195</v>
      </c>
      <c r="H7" s="39">
        <f t="shared" si="1"/>
        <v>0</v>
      </c>
    </row>
    <row r="8" spans="1:14" ht="16.5" customHeight="1" x14ac:dyDescent="0.2">
      <c r="A8">
        <v>8</v>
      </c>
      <c r="B8" s="33" t="s">
        <v>13</v>
      </c>
      <c r="C8" s="34"/>
      <c r="D8" s="35"/>
      <c r="E8" s="36">
        <f t="shared" si="0"/>
        <v>0</v>
      </c>
      <c r="F8" s="37" t="s">
        <v>10</v>
      </c>
      <c r="G8" s="38">
        <v>283</v>
      </c>
      <c r="H8" s="39">
        <f t="shared" si="1"/>
        <v>0</v>
      </c>
    </row>
    <row r="9" spans="1:14" ht="16.5" customHeight="1" x14ac:dyDescent="0.2">
      <c r="A9">
        <v>9</v>
      </c>
      <c r="B9" s="33" t="s">
        <v>14</v>
      </c>
      <c r="C9" s="34"/>
      <c r="D9" s="35"/>
      <c r="E9" s="36">
        <f t="shared" si="0"/>
        <v>0</v>
      </c>
      <c r="F9" s="37" t="s">
        <v>10</v>
      </c>
      <c r="G9" s="38">
        <v>276</v>
      </c>
      <c r="H9" s="39">
        <f t="shared" si="1"/>
        <v>0</v>
      </c>
    </row>
    <row r="10" spans="1:14" ht="16.5" customHeight="1" x14ac:dyDescent="0.2">
      <c r="A10">
        <v>11</v>
      </c>
      <c r="B10" s="33" t="s">
        <v>15</v>
      </c>
      <c r="C10" s="34"/>
      <c r="D10" s="35"/>
      <c r="E10" s="36">
        <f t="shared" si="0"/>
        <v>0</v>
      </c>
      <c r="F10" s="37" t="s">
        <v>10</v>
      </c>
      <c r="G10" s="38">
        <v>276</v>
      </c>
      <c r="H10" s="39">
        <f t="shared" si="1"/>
        <v>0</v>
      </c>
    </row>
    <row r="11" spans="1:14" ht="16.5" customHeight="1" x14ac:dyDescent="0.2">
      <c r="A11">
        <v>12</v>
      </c>
      <c r="B11" s="33" t="s">
        <v>16</v>
      </c>
      <c r="C11" s="34"/>
      <c r="D11" s="35"/>
      <c r="E11" s="36">
        <f t="shared" si="0"/>
        <v>0</v>
      </c>
      <c r="F11" s="37" t="s">
        <v>10</v>
      </c>
      <c r="G11" s="38">
        <v>329</v>
      </c>
      <c r="H11" s="39">
        <f t="shared" si="1"/>
        <v>0</v>
      </c>
    </row>
    <row r="12" spans="1:14" ht="16.5" customHeight="1" x14ac:dyDescent="0.2">
      <c r="A12">
        <v>14</v>
      </c>
      <c r="B12" s="33" t="s">
        <v>17</v>
      </c>
      <c r="C12" s="34"/>
      <c r="D12" s="35"/>
      <c r="E12" s="36">
        <f t="shared" si="0"/>
        <v>0</v>
      </c>
      <c r="F12" s="37" t="s">
        <v>10</v>
      </c>
      <c r="G12" s="38">
        <v>329</v>
      </c>
      <c r="H12" s="39">
        <f t="shared" si="1"/>
        <v>0</v>
      </c>
    </row>
    <row r="13" spans="1:14" ht="16.5" x14ac:dyDescent="0.2">
      <c r="B13" s="40" t="s">
        <v>18</v>
      </c>
      <c r="C13" s="41"/>
      <c r="D13" s="42"/>
      <c r="E13" s="36">
        <f t="shared" si="0"/>
        <v>0</v>
      </c>
      <c r="F13" s="43" t="s">
        <v>19</v>
      </c>
      <c r="G13" s="44">
        <v>0.05</v>
      </c>
      <c r="H13" s="39">
        <f t="shared" si="1"/>
        <v>0</v>
      </c>
    </row>
    <row r="14" spans="1:14" ht="16.5" x14ac:dyDescent="0.2">
      <c r="B14" s="40"/>
      <c r="C14" s="41"/>
      <c r="D14" s="42"/>
      <c r="E14" s="45"/>
      <c r="F14" s="43"/>
      <c r="G14" s="44"/>
      <c r="H14" s="46"/>
    </row>
    <row r="15" spans="1:14" s="19" customFormat="1" ht="33.75" customHeight="1" x14ac:dyDescent="0.3">
      <c r="A15" s="19">
        <v>16</v>
      </c>
      <c r="B15" s="47" t="s">
        <v>20</v>
      </c>
      <c r="C15" s="21"/>
      <c r="D15" s="22"/>
      <c r="E15" s="48"/>
      <c r="F15" s="30"/>
      <c r="G15" s="31"/>
      <c r="H15" s="49">
        <f t="shared" si="1"/>
        <v>0</v>
      </c>
      <c r="I15" s="27"/>
      <c r="J15" s="27"/>
    </row>
    <row r="16" spans="1:14" ht="16.5" x14ac:dyDescent="0.2">
      <c r="A16">
        <v>22</v>
      </c>
      <c r="B16" s="33" t="s">
        <v>21</v>
      </c>
      <c r="C16" s="34"/>
      <c r="D16" s="35"/>
      <c r="E16" s="36">
        <f t="shared" ref="E16:E58" si="2">SUM(C16:D16)</f>
        <v>0</v>
      </c>
      <c r="F16" s="50" t="s">
        <v>22</v>
      </c>
      <c r="G16" s="38">
        <v>406</v>
      </c>
      <c r="H16" s="39">
        <f t="shared" si="1"/>
        <v>0</v>
      </c>
      <c r="I16" s="51"/>
      <c r="J16" s="52"/>
      <c r="L16" s="53"/>
      <c r="M16" s="54"/>
      <c r="N16" s="55"/>
    </row>
    <row r="17" spans="1:14" ht="16.5" x14ac:dyDescent="0.2">
      <c r="A17">
        <v>24</v>
      </c>
      <c r="B17" s="33" t="s">
        <v>23</v>
      </c>
      <c r="C17" s="34"/>
      <c r="D17" s="35"/>
      <c r="E17" s="36">
        <f t="shared" si="2"/>
        <v>0</v>
      </c>
      <c r="F17" s="37" t="s">
        <v>22</v>
      </c>
      <c r="G17" s="38">
        <v>341</v>
      </c>
      <c r="H17" s="39">
        <f t="shared" si="1"/>
        <v>0</v>
      </c>
      <c r="I17" s="51"/>
      <c r="J17" s="52"/>
      <c r="L17" s="53"/>
      <c r="M17" s="54"/>
      <c r="N17" s="55"/>
    </row>
    <row r="18" spans="1:14" ht="16.5" x14ac:dyDescent="0.2">
      <c r="A18">
        <v>25</v>
      </c>
      <c r="B18" s="33" t="s">
        <v>24</v>
      </c>
      <c r="C18" s="34"/>
      <c r="D18" s="35"/>
      <c r="E18" s="36">
        <f t="shared" si="2"/>
        <v>0</v>
      </c>
      <c r="F18" s="37" t="s">
        <v>22</v>
      </c>
      <c r="G18" s="38">
        <v>205</v>
      </c>
      <c r="H18" s="39">
        <f t="shared" si="1"/>
        <v>0</v>
      </c>
      <c r="I18" s="51"/>
      <c r="J18" s="52"/>
      <c r="L18" s="53"/>
      <c r="M18" s="54"/>
      <c r="N18" s="55"/>
    </row>
    <row r="19" spans="1:14" ht="16.5" x14ac:dyDescent="0.2">
      <c r="A19">
        <v>27</v>
      </c>
      <c r="B19" s="33" t="s">
        <v>25</v>
      </c>
      <c r="C19" s="34"/>
      <c r="D19" s="35"/>
      <c r="E19" s="36">
        <f t="shared" si="2"/>
        <v>0</v>
      </c>
      <c r="F19" s="37" t="s">
        <v>22</v>
      </c>
      <c r="G19" s="38">
        <v>160</v>
      </c>
      <c r="H19" s="39">
        <f t="shared" si="1"/>
        <v>0</v>
      </c>
      <c r="I19" s="51"/>
      <c r="J19" s="52"/>
      <c r="L19" s="53"/>
      <c r="M19" s="54"/>
      <c r="N19" s="55"/>
    </row>
    <row r="20" spans="1:14" ht="16.5" x14ac:dyDescent="0.3">
      <c r="A20">
        <v>28</v>
      </c>
      <c r="B20" s="56" t="s">
        <v>26</v>
      </c>
      <c r="C20" s="34"/>
      <c r="D20" s="35"/>
      <c r="E20" s="36">
        <f t="shared" si="2"/>
        <v>0</v>
      </c>
      <c r="F20" s="37" t="s">
        <v>22</v>
      </c>
      <c r="G20" s="38">
        <v>102</v>
      </c>
      <c r="H20" s="39">
        <f t="shared" si="1"/>
        <v>0</v>
      </c>
      <c r="I20" s="51"/>
      <c r="J20" s="52"/>
      <c r="L20" s="53"/>
      <c r="M20" s="54"/>
      <c r="N20" s="55"/>
    </row>
    <row r="21" spans="1:14" ht="16.5" x14ac:dyDescent="0.2">
      <c r="A21">
        <v>29</v>
      </c>
      <c r="B21" s="33" t="s">
        <v>27</v>
      </c>
      <c r="C21" s="34"/>
      <c r="D21" s="35"/>
      <c r="E21" s="36">
        <f t="shared" si="2"/>
        <v>0</v>
      </c>
      <c r="F21" s="50" t="s">
        <v>28</v>
      </c>
      <c r="G21" s="38">
        <v>401</v>
      </c>
      <c r="H21" s="39">
        <f t="shared" si="1"/>
        <v>0</v>
      </c>
      <c r="I21" s="51"/>
      <c r="J21" s="52"/>
      <c r="L21" s="53"/>
      <c r="M21" s="54"/>
      <c r="N21" s="55"/>
    </row>
    <row r="22" spans="1:14" ht="16.5" x14ac:dyDescent="0.2">
      <c r="A22">
        <v>30</v>
      </c>
      <c r="B22" s="33" t="s">
        <v>29</v>
      </c>
      <c r="C22" s="34"/>
      <c r="D22" s="35"/>
      <c r="E22" s="36">
        <f t="shared" si="2"/>
        <v>0</v>
      </c>
      <c r="F22" s="50" t="s">
        <v>28</v>
      </c>
      <c r="G22" s="38">
        <v>273</v>
      </c>
      <c r="H22" s="39">
        <f t="shared" si="1"/>
        <v>0</v>
      </c>
      <c r="I22" s="51"/>
      <c r="J22" s="52"/>
      <c r="L22" s="53"/>
      <c r="M22" s="54"/>
      <c r="N22" s="55"/>
    </row>
    <row r="23" spans="1:14" ht="16.5" x14ac:dyDescent="0.2">
      <c r="A23">
        <v>32</v>
      </c>
      <c r="B23" s="33" t="s">
        <v>30</v>
      </c>
      <c r="C23" s="34"/>
      <c r="D23" s="35"/>
      <c r="E23" s="36">
        <f t="shared" si="2"/>
        <v>0</v>
      </c>
      <c r="F23" s="50" t="s">
        <v>28</v>
      </c>
      <c r="G23" s="38">
        <v>139</v>
      </c>
      <c r="H23" s="39">
        <f t="shared" si="1"/>
        <v>0</v>
      </c>
      <c r="I23" s="51"/>
      <c r="J23" s="52"/>
      <c r="L23" s="53"/>
      <c r="M23" s="54"/>
      <c r="N23" s="55"/>
    </row>
    <row r="24" spans="1:14" ht="16.5" x14ac:dyDescent="0.2">
      <c r="A24">
        <v>33</v>
      </c>
      <c r="B24" s="33" t="s">
        <v>31</v>
      </c>
      <c r="C24" s="34"/>
      <c r="D24" s="35"/>
      <c r="E24" s="36">
        <f t="shared" si="2"/>
        <v>0</v>
      </c>
      <c r="F24" s="50" t="s">
        <v>28</v>
      </c>
      <c r="G24" s="38">
        <v>101</v>
      </c>
      <c r="H24" s="39">
        <f t="shared" si="1"/>
        <v>0</v>
      </c>
      <c r="I24" s="51"/>
      <c r="J24" s="52"/>
      <c r="L24" s="53"/>
      <c r="M24" s="54"/>
      <c r="N24" s="55"/>
    </row>
    <row r="25" spans="1:14" ht="16.5" x14ac:dyDescent="0.2">
      <c r="A25">
        <v>34</v>
      </c>
      <c r="B25" s="33" t="s">
        <v>32</v>
      </c>
      <c r="C25" s="34"/>
      <c r="D25" s="35"/>
      <c r="E25" s="36">
        <f t="shared" si="2"/>
        <v>0</v>
      </c>
      <c r="F25" s="50" t="s">
        <v>28</v>
      </c>
      <c r="G25" s="38">
        <v>91</v>
      </c>
      <c r="H25" s="39">
        <f t="shared" si="1"/>
        <v>0</v>
      </c>
      <c r="I25" s="51"/>
      <c r="J25" s="52"/>
      <c r="L25" s="53"/>
      <c r="M25" s="54"/>
      <c r="N25" s="55"/>
    </row>
    <row r="26" spans="1:14" ht="16.5" x14ac:dyDescent="0.2">
      <c r="A26">
        <v>35</v>
      </c>
      <c r="B26" s="33" t="s">
        <v>33</v>
      </c>
      <c r="C26" s="34"/>
      <c r="D26" s="35"/>
      <c r="E26" s="36">
        <f t="shared" si="2"/>
        <v>0</v>
      </c>
      <c r="F26" s="50" t="s">
        <v>28</v>
      </c>
      <c r="G26" s="38">
        <v>479</v>
      </c>
      <c r="H26" s="39">
        <f t="shared" si="1"/>
        <v>0</v>
      </c>
      <c r="I26" s="51"/>
      <c r="J26" s="52"/>
      <c r="L26" s="53"/>
      <c r="M26" s="54"/>
      <c r="N26" s="55"/>
    </row>
    <row r="27" spans="1:14" ht="16.5" x14ac:dyDescent="0.2">
      <c r="A27">
        <v>36</v>
      </c>
      <c r="B27" s="33" t="s">
        <v>34</v>
      </c>
      <c r="C27" s="34"/>
      <c r="D27" s="35"/>
      <c r="E27" s="36">
        <f t="shared" si="2"/>
        <v>0</v>
      </c>
      <c r="F27" s="50" t="s">
        <v>28</v>
      </c>
      <c r="G27" s="38">
        <v>312</v>
      </c>
      <c r="H27" s="39">
        <f t="shared" si="1"/>
        <v>0</v>
      </c>
      <c r="I27" s="51"/>
      <c r="J27" s="52"/>
      <c r="L27" s="53"/>
      <c r="M27" s="54"/>
      <c r="N27" s="55"/>
    </row>
    <row r="28" spans="1:14" ht="16.5" x14ac:dyDescent="0.2">
      <c r="A28">
        <v>37</v>
      </c>
      <c r="B28" s="33" t="s">
        <v>35</v>
      </c>
      <c r="C28" s="34"/>
      <c r="D28" s="35"/>
      <c r="E28" s="36">
        <f t="shared" si="2"/>
        <v>0</v>
      </c>
      <c r="F28" s="50" t="s">
        <v>28</v>
      </c>
      <c r="G28" s="38">
        <v>142</v>
      </c>
      <c r="H28" s="39">
        <f t="shared" si="1"/>
        <v>0</v>
      </c>
      <c r="I28" s="51"/>
      <c r="J28" s="52"/>
      <c r="L28" s="53"/>
      <c r="M28" s="54"/>
      <c r="N28" s="55"/>
    </row>
    <row r="29" spans="1:14" ht="16.5" x14ac:dyDescent="0.2">
      <c r="A29">
        <v>39</v>
      </c>
      <c r="B29" s="33" t="s">
        <v>36</v>
      </c>
      <c r="C29" s="34"/>
      <c r="D29" s="35"/>
      <c r="E29" s="36">
        <f t="shared" si="2"/>
        <v>0</v>
      </c>
      <c r="F29" s="50" t="s">
        <v>28</v>
      </c>
      <c r="G29" s="38">
        <v>121</v>
      </c>
      <c r="H29" s="39">
        <f t="shared" si="1"/>
        <v>0</v>
      </c>
      <c r="I29" s="51"/>
      <c r="J29" s="52"/>
      <c r="L29" s="53"/>
      <c r="M29" s="54"/>
      <c r="N29" s="55"/>
    </row>
    <row r="30" spans="1:14" ht="16.5" x14ac:dyDescent="0.2">
      <c r="A30">
        <v>41</v>
      </c>
      <c r="B30" s="33" t="s">
        <v>37</v>
      </c>
      <c r="C30" s="34"/>
      <c r="D30" s="35"/>
      <c r="E30" s="36">
        <f t="shared" si="2"/>
        <v>0</v>
      </c>
      <c r="F30" s="50" t="s">
        <v>28</v>
      </c>
      <c r="G30" s="38">
        <v>94</v>
      </c>
      <c r="H30" s="39">
        <f t="shared" si="1"/>
        <v>0</v>
      </c>
      <c r="I30" s="51"/>
      <c r="J30" s="52"/>
      <c r="L30" s="53"/>
      <c r="M30" s="54"/>
      <c r="N30" s="55"/>
    </row>
    <row r="31" spans="1:14" ht="16.5" x14ac:dyDescent="0.2">
      <c r="A31">
        <v>42</v>
      </c>
      <c r="B31" s="33" t="s">
        <v>38</v>
      </c>
      <c r="C31" s="34"/>
      <c r="D31" s="35"/>
      <c r="E31" s="36">
        <f t="shared" si="2"/>
        <v>0</v>
      </c>
      <c r="F31" s="50" t="s">
        <v>28</v>
      </c>
      <c r="G31" s="38">
        <v>5520</v>
      </c>
      <c r="H31" s="39">
        <f t="shared" si="1"/>
        <v>0</v>
      </c>
      <c r="I31" s="51"/>
      <c r="J31" s="52"/>
      <c r="L31" s="53"/>
      <c r="M31" s="54"/>
      <c r="N31" s="55"/>
    </row>
    <row r="32" spans="1:14" ht="16.5" x14ac:dyDescent="0.2">
      <c r="A32">
        <v>43</v>
      </c>
      <c r="B32" s="33" t="s">
        <v>39</v>
      </c>
      <c r="C32" s="34"/>
      <c r="D32" s="35"/>
      <c r="E32" s="36">
        <f t="shared" si="2"/>
        <v>0</v>
      </c>
      <c r="F32" s="50" t="s">
        <v>28</v>
      </c>
      <c r="G32" s="38">
        <v>7530</v>
      </c>
      <c r="H32" s="39">
        <f t="shared" si="1"/>
        <v>0</v>
      </c>
      <c r="I32" s="51"/>
      <c r="J32" s="52"/>
      <c r="L32" s="53"/>
      <c r="M32" s="54"/>
      <c r="N32" s="55"/>
    </row>
    <row r="33" spans="1:14" ht="16.5" x14ac:dyDescent="0.2">
      <c r="A33">
        <v>44</v>
      </c>
      <c r="B33" s="33" t="s">
        <v>40</v>
      </c>
      <c r="C33" s="34"/>
      <c r="D33" s="35"/>
      <c r="E33" s="36">
        <f t="shared" si="2"/>
        <v>0</v>
      </c>
      <c r="F33" s="50" t="s">
        <v>28</v>
      </c>
      <c r="G33" s="38">
        <v>9522</v>
      </c>
      <c r="H33" s="39">
        <f t="shared" si="1"/>
        <v>0</v>
      </c>
      <c r="I33" s="51"/>
      <c r="J33" s="52"/>
      <c r="L33" s="53"/>
      <c r="M33" s="54"/>
      <c r="N33" s="55"/>
    </row>
    <row r="34" spans="1:14" ht="16.5" x14ac:dyDescent="0.2">
      <c r="A34">
        <v>45</v>
      </c>
      <c r="B34" s="33" t="s">
        <v>41</v>
      </c>
      <c r="C34" s="34"/>
      <c r="D34" s="35"/>
      <c r="E34" s="36">
        <f t="shared" si="2"/>
        <v>0</v>
      </c>
      <c r="F34" s="50" t="s">
        <v>28</v>
      </c>
      <c r="G34" s="38">
        <v>8323</v>
      </c>
      <c r="H34" s="39">
        <f t="shared" si="1"/>
        <v>0</v>
      </c>
      <c r="I34" s="51"/>
      <c r="J34" s="52"/>
      <c r="L34" s="53"/>
      <c r="M34" s="54"/>
      <c r="N34" s="55"/>
    </row>
    <row r="35" spans="1:14" ht="16.5" x14ac:dyDescent="0.2">
      <c r="A35">
        <v>46</v>
      </c>
      <c r="B35" s="33" t="s">
        <v>42</v>
      </c>
      <c r="C35" s="34"/>
      <c r="D35" s="35"/>
      <c r="E35" s="36">
        <f t="shared" si="2"/>
        <v>0</v>
      </c>
      <c r="F35" s="50" t="s">
        <v>28</v>
      </c>
      <c r="G35" s="38">
        <v>11160</v>
      </c>
      <c r="H35" s="39">
        <f t="shared" si="1"/>
        <v>0</v>
      </c>
      <c r="I35" s="51"/>
      <c r="J35" s="52"/>
      <c r="L35" s="53"/>
      <c r="M35" s="54"/>
      <c r="N35" s="55"/>
    </row>
    <row r="36" spans="1:14" ht="16.5" x14ac:dyDescent="0.2">
      <c r="A36">
        <v>47</v>
      </c>
      <c r="B36" s="33" t="s">
        <v>43</v>
      </c>
      <c r="C36" s="34"/>
      <c r="D36" s="35"/>
      <c r="E36" s="36">
        <f t="shared" si="2"/>
        <v>0</v>
      </c>
      <c r="F36" s="50" t="s">
        <v>28</v>
      </c>
      <c r="G36" s="38">
        <v>13785</v>
      </c>
      <c r="H36" s="39">
        <f t="shared" si="1"/>
        <v>0</v>
      </c>
      <c r="I36" s="51"/>
      <c r="J36" s="52"/>
      <c r="L36" s="53"/>
      <c r="M36" s="54"/>
      <c r="N36" s="55"/>
    </row>
    <row r="37" spans="1:14" ht="33" x14ac:dyDescent="0.2">
      <c r="A37">
        <v>48</v>
      </c>
      <c r="B37" s="33" t="s">
        <v>44</v>
      </c>
      <c r="C37" s="34"/>
      <c r="D37" s="35"/>
      <c r="E37" s="36">
        <f t="shared" si="2"/>
        <v>0</v>
      </c>
      <c r="F37" s="50" t="s">
        <v>28</v>
      </c>
      <c r="G37" s="38">
        <v>1247</v>
      </c>
      <c r="H37" s="39">
        <f t="shared" si="1"/>
        <v>0</v>
      </c>
      <c r="I37" s="51"/>
      <c r="J37" s="52"/>
      <c r="L37" s="53"/>
      <c r="M37" s="54"/>
      <c r="N37" s="55"/>
    </row>
    <row r="38" spans="1:14" ht="33" x14ac:dyDescent="0.2">
      <c r="A38">
        <v>49</v>
      </c>
      <c r="B38" s="33" t="s">
        <v>45</v>
      </c>
      <c r="C38" s="34"/>
      <c r="D38" s="35"/>
      <c r="E38" s="36">
        <f t="shared" si="2"/>
        <v>0</v>
      </c>
      <c r="F38" s="50" t="s">
        <v>28</v>
      </c>
      <c r="G38" s="38">
        <v>1040</v>
      </c>
      <c r="H38" s="39">
        <f t="shared" si="1"/>
        <v>0</v>
      </c>
      <c r="I38" s="51"/>
      <c r="J38" s="52"/>
      <c r="L38" s="53"/>
      <c r="M38" s="54"/>
      <c r="N38" s="55"/>
    </row>
    <row r="39" spans="1:14" ht="33" x14ac:dyDescent="0.2">
      <c r="A39">
        <v>50</v>
      </c>
      <c r="B39" s="33" t="s">
        <v>46</v>
      </c>
      <c r="C39" s="34"/>
      <c r="D39" s="35"/>
      <c r="E39" s="36">
        <f t="shared" si="2"/>
        <v>0</v>
      </c>
      <c r="F39" s="50" t="s">
        <v>28</v>
      </c>
      <c r="G39" s="38">
        <v>694</v>
      </c>
      <c r="H39" s="39">
        <f t="shared" si="1"/>
        <v>0</v>
      </c>
      <c r="I39" s="51"/>
      <c r="J39" s="52"/>
      <c r="L39" s="53"/>
      <c r="M39" s="54"/>
      <c r="N39" s="55"/>
    </row>
    <row r="40" spans="1:14" ht="16.5" customHeight="1" x14ac:dyDescent="0.2">
      <c r="A40">
        <v>230</v>
      </c>
      <c r="B40" s="33" t="s">
        <v>47</v>
      </c>
      <c r="C40" s="34"/>
      <c r="D40" s="35"/>
      <c r="E40" s="36">
        <f t="shared" si="2"/>
        <v>0</v>
      </c>
      <c r="F40" s="50" t="s">
        <v>28</v>
      </c>
      <c r="G40" s="38">
        <v>786</v>
      </c>
      <c r="H40" s="39">
        <f t="shared" si="1"/>
        <v>0</v>
      </c>
      <c r="I40" s="51"/>
      <c r="J40" s="52"/>
      <c r="L40" s="53"/>
      <c r="M40" s="54"/>
      <c r="N40" s="55"/>
    </row>
    <row r="41" spans="1:14" ht="16.5" customHeight="1" x14ac:dyDescent="0.2">
      <c r="A41">
        <v>230</v>
      </c>
      <c r="B41" s="33" t="s">
        <v>48</v>
      </c>
      <c r="C41" s="34"/>
      <c r="D41" s="35"/>
      <c r="E41" s="36">
        <f t="shared" si="2"/>
        <v>0</v>
      </c>
      <c r="F41" s="50" t="s">
        <v>28</v>
      </c>
      <c r="G41" s="38">
        <v>239</v>
      </c>
      <c r="H41" s="39">
        <f t="shared" si="1"/>
        <v>0</v>
      </c>
      <c r="I41" s="51"/>
      <c r="J41" s="52"/>
      <c r="L41" s="53"/>
      <c r="M41" s="54"/>
      <c r="N41" s="55"/>
    </row>
    <row r="42" spans="1:14" ht="16.5" customHeight="1" x14ac:dyDescent="0.2">
      <c r="A42">
        <v>230</v>
      </c>
      <c r="B42" s="33" t="s">
        <v>49</v>
      </c>
      <c r="C42" s="34"/>
      <c r="D42" s="35"/>
      <c r="E42" s="36">
        <f t="shared" si="2"/>
        <v>0</v>
      </c>
      <c r="F42" s="50" t="s">
        <v>28</v>
      </c>
      <c r="G42" s="38">
        <v>144</v>
      </c>
      <c r="H42" s="39">
        <f t="shared" si="1"/>
        <v>0</v>
      </c>
      <c r="I42" s="51"/>
      <c r="J42" s="52"/>
      <c r="L42" s="53"/>
      <c r="M42" s="54"/>
      <c r="N42" s="55"/>
    </row>
    <row r="43" spans="1:14" ht="16.5" customHeight="1" x14ac:dyDescent="0.2">
      <c r="A43">
        <v>51</v>
      </c>
      <c r="B43" s="33" t="s">
        <v>50</v>
      </c>
      <c r="C43" s="34"/>
      <c r="D43" s="35"/>
      <c r="E43" s="36">
        <f t="shared" si="2"/>
        <v>0</v>
      </c>
      <c r="F43" s="50" t="s">
        <v>28</v>
      </c>
      <c r="G43" s="38">
        <v>390</v>
      </c>
      <c r="H43" s="39">
        <f t="shared" si="1"/>
        <v>0</v>
      </c>
      <c r="I43" s="51"/>
      <c r="J43" s="52"/>
      <c r="L43" s="53"/>
      <c r="M43" s="54"/>
      <c r="N43" s="55"/>
    </row>
    <row r="44" spans="1:14" ht="16.5" customHeight="1" x14ac:dyDescent="0.2">
      <c r="A44">
        <v>52</v>
      </c>
      <c r="B44" s="33" t="s">
        <v>51</v>
      </c>
      <c r="C44" s="34"/>
      <c r="D44" s="35"/>
      <c r="E44" s="36">
        <f t="shared" si="2"/>
        <v>0</v>
      </c>
      <c r="F44" s="50" t="s">
        <v>28</v>
      </c>
      <c r="G44" s="38">
        <v>657</v>
      </c>
      <c r="H44" s="39">
        <f t="shared" si="1"/>
        <v>0</v>
      </c>
      <c r="I44" s="51"/>
      <c r="J44" s="52"/>
      <c r="L44" s="53"/>
      <c r="M44" s="54"/>
      <c r="N44" s="55"/>
    </row>
    <row r="45" spans="1:14" ht="16.5" x14ac:dyDescent="0.2">
      <c r="A45">
        <v>53</v>
      </c>
      <c r="B45" s="33" t="s">
        <v>52</v>
      </c>
      <c r="C45" s="34"/>
      <c r="D45" s="35"/>
      <c r="E45" s="36">
        <f t="shared" si="2"/>
        <v>0</v>
      </c>
      <c r="F45" s="50" t="s">
        <v>28</v>
      </c>
      <c r="G45" s="38">
        <v>624</v>
      </c>
      <c r="H45" s="39">
        <f t="shared" si="1"/>
        <v>0</v>
      </c>
      <c r="I45" s="51"/>
      <c r="J45" s="52"/>
      <c r="L45" s="53"/>
      <c r="M45" s="54"/>
      <c r="N45" s="55"/>
    </row>
    <row r="46" spans="1:14" ht="16.5" x14ac:dyDescent="0.2">
      <c r="A46">
        <v>54</v>
      </c>
      <c r="B46" s="57" t="s">
        <v>53</v>
      </c>
      <c r="C46" s="34"/>
      <c r="D46" s="35"/>
      <c r="E46" s="36">
        <f t="shared" si="2"/>
        <v>0</v>
      </c>
      <c r="F46" s="50" t="s">
        <v>28</v>
      </c>
      <c r="G46" s="38">
        <v>554</v>
      </c>
      <c r="H46" s="39">
        <f t="shared" si="1"/>
        <v>0</v>
      </c>
      <c r="I46" s="51"/>
      <c r="J46" s="52"/>
      <c r="L46" s="53"/>
      <c r="M46" s="54"/>
      <c r="N46" s="55"/>
    </row>
    <row r="47" spans="1:14" ht="16.5" x14ac:dyDescent="0.2">
      <c r="A47">
        <v>55</v>
      </c>
      <c r="B47" s="57" t="s">
        <v>54</v>
      </c>
      <c r="C47" s="34"/>
      <c r="D47" s="35"/>
      <c r="E47" s="36">
        <f t="shared" si="2"/>
        <v>0</v>
      </c>
      <c r="F47" s="50" t="s">
        <v>28</v>
      </c>
      <c r="G47" s="38">
        <v>520</v>
      </c>
      <c r="H47" s="39">
        <f t="shared" si="1"/>
        <v>0</v>
      </c>
      <c r="I47" s="51"/>
      <c r="J47" s="52"/>
      <c r="L47" s="53"/>
      <c r="M47" s="54"/>
      <c r="N47" s="55"/>
    </row>
    <row r="48" spans="1:14" ht="16.5" x14ac:dyDescent="0.2">
      <c r="A48">
        <v>56</v>
      </c>
      <c r="B48" s="57" t="s">
        <v>55</v>
      </c>
      <c r="C48" s="34"/>
      <c r="D48" s="35"/>
      <c r="E48" s="36">
        <f t="shared" si="2"/>
        <v>0</v>
      </c>
      <c r="F48" s="50" t="s">
        <v>28</v>
      </c>
      <c r="G48" s="38">
        <v>505</v>
      </c>
      <c r="H48" s="39">
        <f t="shared" si="1"/>
        <v>0</v>
      </c>
      <c r="I48" s="51"/>
      <c r="J48" s="52"/>
      <c r="L48" s="53"/>
      <c r="M48" s="54"/>
      <c r="N48" s="55"/>
    </row>
    <row r="49" spans="1:14" ht="16.5" x14ac:dyDescent="0.2">
      <c r="A49">
        <v>57</v>
      </c>
      <c r="B49" s="57" t="s">
        <v>56</v>
      </c>
      <c r="C49" s="34"/>
      <c r="D49" s="35"/>
      <c r="E49" s="36">
        <f t="shared" si="2"/>
        <v>0</v>
      </c>
      <c r="F49" s="50" t="s">
        <v>28</v>
      </c>
      <c r="G49" s="38">
        <v>500</v>
      </c>
      <c r="H49" s="39">
        <f t="shared" si="1"/>
        <v>0</v>
      </c>
      <c r="I49" s="51"/>
      <c r="J49" s="52"/>
      <c r="L49" s="53"/>
      <c r="M49" s="54"/>
      <c r="N49" s="55"/>
    </row>
    <row r="50" spans="1:14" ht="16.5" x14ac:dyDescent="0.2">
      <c r="A50">
        <v>58</v>
      </c>
      <c r="B50" s="57" t="s">
        <v>57</v>
      </c>
      <c r="C50" s="34"/>
      <c r="D50" s="35"/>
      <c r="E50" s="36">
        <f t="shared" si="2"/>
        <v>0</v>
      </c>
      <c r="F50" s="50" t="s">
        <v>28</v>
      </c>
      <c r="G50" s="38">
        <v>1002</v>
      </c>
      <c r="H50" s="39">
        <f t="shared" si="1"/>
        <v>0</v>
      </c>
      <c r="I50" s="51"/>
      <c r="J50" s="52"/>
      <c r="L50" s="53"/>
      <c r="M50" s="54"/>
      <c r="N50" s="55"/>
    </row>
    <row r="51" spans="1:14" ht="16.5" x14ac:dyDescent="0.2">
      <c r="A51">
        <v>59</v>
      </c>
      <c r="B51" s="57" t="s">
        <v>58</v>
      </c>
      <c r="C51" s="34"/>
      <c r="D51" s="35"/>
      <c r="E51" s="36">
        <f t="shared" si="2"/>
        <v>0</v>
      </c>
      <c r="F51" s="50" t="s">
        <v>28</v>
      </c>
      <c r="G51" s="38">
        <v>568</v>
      </c>
      <c r="H51" s="39">
        <f t="shared" si="1"/>
        <v>0</v>
      </c>
      <c r="I51" s="51"/>
      <c r="J51" s="52"/>
      <c r="L51" s="53"/>
      <c r="M51" s="54"/>
      <c r="N51" s="55"/>
    </row>
    <row r="52" spans="1:14" ht="16.5" x14ac:dyDescent="0.2">
      <c r="A52">
        <v>60</v>
      </c>
      <c r="B52" s="57" t="s">
        <v>59</v>
      </c>
      <c r="C52" s="34"/>
      <c r="D52" s="35"/>
      <c r="E52" s="36">
        <f t="shared" si="2"/>
        <v>0</v>
      </c>
      <c r="F52" s="50" t="s">
        <v>28</v>
      </c>
      <c r="G52" s="38">
        <v>507</v>
      </c>
      <c r="H52" s="39">
        <f t="shared" si="1"/>
        <v>0</v>
      </c>
      <c r="I52" s="51"/>
      <c r="J52" s="52"/>
      <c r="L52" s="53"/>
      <c r="M52" s="54"/>
      <c r="N52" s="55"/>
    </row>
    <row r="53" spans="1:14" ht="16.5" x14ac:dyDescent="0.2">
      <c r="A53">
        <v>61</v>
      </c>
      <c r="B53" s="57" t="s">
        <v>60</v>
      </c>
      <c r="C53" s="34"/>
      <c r="D53" s="35"/>
      <c r="E53" s="36">
        <f t="shared" si="2"/>
        <v>0</v>
      </c>
      <c r="F53" s="50" t="s">
        <v>28</v>
      </c>
      <c r="G53" s="38">
        <v>324</v>
      </c>
      <c r="H53" s="39">
        <f t="shared" si="1"/>
        <v>0</v>
      </c>
      <c r="I53" s="51"/>
      <c r="J53" s="52"/>
      <c r="L53" s="53"/>
      <c r="M53" s="54"/>
      <c r="N53" s="55"/>
    </row>
    <row r="54" spans="1:14" ht="16.5" x14ac:dyDescent="0.2">
      <c r="A54">
        <v>62</v>
      </c>
      <c r="B54" s="57" t="s">
        <v>61</v>
      </c>
      <c r="C54" s="34"/>
      <c r="D54" s="35"/>
      <c r="E54" s="36">
        <f t="shared" si="2"/>
        <v>0</v>
      </c>
      <c r="F54" s="50" t="s">
        <v>28</v>
      </c>
      <c r="G54" s="38">
        <v>595</v>
      </c>
      <c r="H54" s="39">
        <f t="shared" si="1"/>
        <v>0</v>
      </c>
      <c r="I54" s="51"/>
      <c r="J54" s="52"/>
      <c r="L54" s="53"/>
      <c r="M54" s="54"/>
      <c r="N54" s="55"/>
    </row>
    <row r="55" spans="1:14" ht="16.5" x14ac:dyDescent="0.2">
      <c r="A55">
        <v>63</v>
      </c>
      <c r="B55" s="57" t="s">
        <v>62</v>
      </c>
      <c r="C55" s="34"/>
      <c r="D55" s="35"/>
      <c r="E55" s="36">
        <f t="shared" si="2"/>
        <v>0</v>
      </c>
      <c r="F55" s="50" t="s">
        <v>28</v>
      </c>
      <c r="G55" s="38">
        <v>519</v>
      </c>
      <c r="H55" s="39">
        <f t="shared" si="1"/>
        <v>0</v>
      </c>
      <c r="I55" s="51"/>
      <c r="J55" s="52"/>
      <c r="L55" s="53"/>
      <c r="M55" s="54"/>
      <c r="N55" s="55"/>
    </row>
    <row r="56" spans="1:14" ht="16.5" x14ac:dyDescent="0.2">
      <c r="A56">
        <v>64</v>
      </c>
      <c r="B56" s="57" t="s">
        <v>63</v>
      </c>
      <c r="C56" s="34"/>
      <c r="D56" s="35"/>
      <c r="E56" s="36">
        <f t="shared" si="2"/>
        <v>0</v>
      </c>
      <c r="F56" s="50" t="s">
        <v>28</v>
      </c>
      <c r="G56" s="38">
        <v>390</v>
      </c>
      <c r="H56" s="39">
        <f t="shared" si="1"/>
        <v>0</v>
      </c>
      <c r="I56" s="51"/>
      <c r="J56" s="52"/>
      <c r="L56" s="53"/>
      <c r="M56" s="54"/>
      <c r="N56" s="55"/>
    </row>
    <row r="57" spans="1:14" ht="16.5" x14ac:dyDescent="0.2">
      <c r="A57">
        <v>65</v>
      </c>
      <c r="B57" s="33" t="s">
        <v>64</v>
      </c>
      <c r="C57" s="34"/>
      <c r="D57" s="35"/>
      <c r="E57" s="36">
        <f t="shared" si="2"/>
        <v>0</v>
      </c>
      <c r="F57" s="50" t="s">
        <v>28</v>
      </c>
      <c r="G57" s="38">
        <v>69</v>
      </c>
      <c r="H57" s="39">
        <f t="shared" si="1"/>
        <v>0</v>
      </c>
      <c r="I57" s="51"/>
      <c r="J57" s="52"/>
      <c r="L57" s="53"/>
      <c r="M57" s="54"/>
      <c r="N57" s="55"/>
    </row>
    <row r="58" spans="1:14" ht="16.5" x14ac:dyDescent="0.2">
      <c r="A58">
        <v>66</v>
      </c>
      <c r="B58" s="33" t="s">
        <v>65</v>
      </c>
      <c r="C58" s="34"/>
      <c r="D58" s="35"/>
      <c r="E58" s="36">
        <f t="shared" si="2"/>
        <v>0</v>
      </c>
      <c r="F58" s="50" t="s">
        <v>28</v>
      </c>
      <c r="G58" s="38">
        <v>56</v>
      </c>
      <c r="H58" s="39">
        <f t="shared" si="1"/>
        <v>0</v>
      </c>
      <c r="I58" s="51"/>
      <c r="J58" s="52"/>
      <c r="L58" s="53"/>
      <c r="M58" s="54"/>
      <c r="N58" s="55"/>
    </row>
    <row r="59" spans="1:14" ht="16.5" x14ac:dyDescent="0.2">
      <c r="A59">
        <v>68</v>
      </c>
      <c r="B59" s="57"/>
      <c r="C59" s="34"/>
      <c r="D59" s="35"/>
      <c r="E59" s="36"/>
      <c r="F59" s="50"/>
      <c r="G59" s="38"/>
      <c r="H59" s="39">
        <f t="shared" si="1"/>
        <v>0</v>
      </c>
      <c r="I59" s="51"/>
      <c r="J59" s="51"/>
    </row>
    <row r="60" spans="1:14" s="19" customFormat="1" ht="33.75" customHeight="1" x14ac:dyDescent="0.3">
      <c r="A60" s="19">
        <v>69</v>
      </c>
      <c r="B60" s="58" t="s">
        <v>66</v>
      </c>
      <c r="C60" s="21"/>
      <c r="D60" s="22"/>
      <c r="E60" s="48"/>
      <c r="F60" s="59"/>
      <c r="G60" s="31"/>
      <c r="H60" s="49">
        <f t="shared" si="1"/>
        <v>0</v>
      </c>
      <c r="I60" s="51"/>
      <c r="J60" s="51"/>
    </row>
    <row r="61" spans="1:14" s="19" customFormat="1" ht="16.5" x14ac:dyDescent="0.3">
      <c r="B61" s="33" t="s">
        <v>67</v>
      </c>
      <c r="C61" s="34"/>
      <c r="D61" s="35"/>
      <c r="E61" s="36">
        <f t="shared" ref="E61:E69" si="3">SUM(C61:D61)</f>
        <v>0</v>
      </c>
      <c r="F61" s="50" t="s">
        <v>19</v>
      </c>
      <c r="G61" s="38">
        <v>820</v>
      </c>
      <c r="H61" s="39">
        <f>E61*G61</f>
        <v>0</v>
      </c>
      <c r="I61" s="51"/>
      <c r="J61" s="52"/>
      <c r="K61"/>
      <c r="L61" s="53"/>
      <c r="M61" s="54"/>
      <c r="N61" s="55"/>
    </row>
    <row r="62" spans="1:14" ht="16.5" x14ac:dyDescent="0.2">
      <c r="A62">
        <v>70</v>
      </c>
      <c r="B62" s="33" t="s">
        <v>68</v>
      </c>
      <c r="C62" s="34"/>
      <c r="D62" s="35"/>
      <c r="E62" s="36">
        <f t="shared" si="3"/>
        <v>0</v>
      </c>
      <c r="F62" s="50" t="s">
        <v>28</v>
      </c>
      <c r="G62" s="38">
        <v>263</v>
      </c>
      <c r="H62" s="39">
        <f t="shared" si="1"/>
        <v>0</v>
      </c>
      <c r="I62" s="51"/>
      <c r="J62" s="52"/>
      <c r="L62" s="53"/>
      <c r="M62" s="54"/>
      <c r="N62" s="55"/>
    </row>
    <row r="63" spans="1:14" ht="16.5" x14ac:dyDescent="0.2">
      <c r="A63">
        <v>71</v>
      </c>
      <c r="B63" s="33" t="s">
        <v>69</v>
      </c>
      <c r="C63" s="34"/>
      <c r="D63" s="35"/>
      <c r="E63" s="36">
        <f t="shared" si="3"/>
        <v>0</v>
      </c>
      <c r="F63" s="50" t="s">
        <v>28</v>
      </c>
      <c r="G63" s="38">
        <v>295</v>
      </c>
      <c r="H63" s="39">
        <f t="shared" si="1"/>
        <v>0</v>
      </c>
      <c r="I63" s="51"/>
      <c r="J63" s="52"/>
      <c r="L63" s="53"/>
      <c r="M63" s="54"/>
      <c r="N63" s="55"/>
    </row>
    <row r="64" spans="1:14" ht="16.5" x14ac:dyDescent="0.2">
      <c r="A64">
        <v>72</v>
      </c>
      <c r="B64" s="33" t="s">
        <v>70</v>
      </c>
      <c r="C64" s="34"/>
      <c r="D64" s="35"/>
      <c r="E64" s="36">
        <f t="shared" si="3"/>
        <v>0</v>
      </c>
      <c r="F64" s="50" t="s">
        <v>28</v>
      </c>
      <c r="G64" s="38">
        <v>346</v>
      </c>
      <c r="H64" s="39">
        <f t="shared" si="1"/>
        <v>0</v>
      </c>
      <c r="I64" s="51"/>
      <c r="J64" s="52"/>
      <c r="L64" s="53"/>
      <c r="M64" s="54"/>
      <c r="N64" s="55"/>
    </row>
    <row r="65" spans="1:14" ht="16.5" x14ac:dyDescent="0.2">
      <c r="A65">
        <v>73</v>
      </c>
      <c r="B65" s="33" t="s">
        <v>71</v>
      </c>
      <c r="C65" s="34"/>
      <c r="D65" s="35"/>
      <c r="E65" s="36">
        <f t="shared" si="3"/>
        <v>0</v>
      </c>
      <c r="F65" s="50" t="s">
        <v>28</v>
      </c>
      <c r="G65" s="38">
        <v>391</v>
      </c>
      <c r="H65" s="39">
        <f t="shared" si="1"/>
        <v>0</v>
      </c>
      <c r="I65" s="51"/>
      <c r="J65" s="52"/>
      <c r="L65" s="53"/>
      <c r="M65" s="54"/>
      <c r="N65" s="55"/>
    </row>
    <row r="66" spans="1:14" ht="16.5" x14ac:dyDescent="0.2">
      <c r="A66">
        <v>74</v>
      </c>
      <c r="B66" s="33" t="s">
        <v>72</v>
      </c>
      <c r="C66" s="34"/>
      <c r="D66" s="35"/>
      <c r="E66" s="36">
        <f t="shared" si="3"/>
        <v>0</v>
      </c>
      <c r="F66" s="50" t="s">
        <v>28</v>
      </c>
      <c r="G66" s="38">
        <v>412</v>
      </c>
      <c r="H66" s="39">
        <f t="shared" si="1"/>
        <v>0</v>
      </c>
      <c r="I66" s="51"/>
      <c r="J66" s="52"/>
      <c r="L66" s="53"/>
      <c r="M66" s="54"/>
      <c r="N66" s="55"/>
    </row>
    <row r="67" spans="1:14" ht="16.5" x14ac:dyDescent="0.2">
      <c r="A67">
        <v>75</v>
      </c>
      <c r="B67" s="33" t="s">
        <v>73</v>
      </c>
      <c r="C67" s="34"/>
      <c r="D67" s="35"/>
      <c r="E67" s="36">
        <f t="shared" si="3"/>
        <v>0</v>
      </c>
      <c r="F67" s="50" t="s">
        <v>28</v>
      </c>
      <c r="G67" s="38">
        <v>432</v>
      </c>
      <c r="H67" s="39">
        <f t="shared" si="1"/>
        <v>0</v>
      </c>
      <c r="I67" s="51"/>
      <c r="J67" s="52"/>
      <c r="L67" s="53"/>
      <c r="M67" s="54"/>
      <c r="N67" s="55"/>
    </row>
    <row r="68" spans="1:14" ht="16.5" x14ac:dyDescent="0.2">
      <c r="A68">
        <v>76</v>
      </c>
      <c r="B68" s="33" t="s">
        <v>74</v>
      </c>
      <c r="C68" s="34"/>
      <c r="D68" s="35"/>
      <c r="E68" s="36">
        <f t="shared" si="3"/>
        <v>0</v>
      </c>
      <c r="F68" s="50" t="s">
        <v>28</v>
      </c>
      <c r="G68" s="38">
        <v>537</v>
      </c>
      <c r="H68" s="39">
        <f t="shared" si="1"/>
        <v>0</v>
      </c>
      <c r="I68" s="51"/>
      <c r="J68" s="52"/>
      <c r="L68" s="53"/>
      <c r="M68" s="54"/>
      <c r="N68" s="55"/>
    </row>
    <row r="69" spans="1:14" ht="16.5" x14ac:dyDescent="0.2">
      <c r="A69">
        <v>77</v>
      </c>
      <c r="B69" s="33" t="s">
        <v>75</v>
      </c>
      <c r="C69" s="34"/>
      <c r="D69" s="35"/>
      <c r="E69" s="36">
        <f t="shared" si="3"/>
        <v>0</v>
      </c>
      <c r="F69" s="50" t="s">
        <v>28</v>
      </c>
      <c r="G69" s="38">
        <v>693</v>
      </c>
      <c r="H69" s="39">
        <f t="shared" ref="H69:H132" si="4">E69*G69</f>
        <v>0</v>
      </c>
      <c r="I69" s="51"/>
      <c r="J69" s="52"/>
      <c r="L69" s="53"/>
      <c r="M69" s="54"/>
      <c r="N69" s="55"/>
    </row>
    <row r="70" spans="1:14" ht="21" customHeight="1" x14ac:dyDescent="0.3">
      <c r="A70">
        <v>78</v>
      </c>
      <c r="B70" s="60"/>
      <c r="C70" s="34"/>
      <c r="D70" s="35"/>
      <c r="E70" s="36"/>
      <c r="F70" s="61"/>
      <c r="G70" s="38"/>
      <c r="H70" s="39">
        <f t="shared" si="4"/>
        <v>0</v>
      </c>
      <c r="I70" s="51"/>
      <c r="J70" s="51"/>
    </row>
    <row r="71" spans="1:14" s="19" customFormat="1" ht="33.75" customHeight="1" x14ac:dyDescent="0.3">
      <c r="A71" s="19">
        <v>79</v>
      </c>
      <c r="B71" s="62" t="s">
        <v>76</v>
      </c>
      <c r="C71" s="21"/>
      <c r="D71" s="22"/>
      <c r="E71" s="48"/>
      <c r="F71" s="59"/>
      <c r="G71" s="31"/>
      <c r="H71" s="49">
        <f t="shared" si="4"/>
        <v>0</v>
      </c>
      <c r="I71" s="51"/>
      <c r="J71" s="51"/>
    </row>
    <row r="72" spans="1:14" ht="16.5" x14ac:dyDescent="0.2">
      <c r="A72">
        <v>80</v>
      </c>
      <c r="B72" s="33" t="s">
        <v>77</v>
      </c>
      <c r="C72" s="34"/>
      <c r="D72" s="35"/>
      <c r="E72" s="36">
        <f t="shared" ref="E72:E81" si="5">SUM(C72:D72)</f>
        <v>0</v>
      </c>
      <c r="F72" s="50" t="s">
        <v>28</v>
      </c>
      <c r="G72" s="38">
        <v>184</v>
      </c>
      <c r="H72" s="39">
        <f t="shared" si="4"/>
        <v>0</v>
      </c>
      <c r="I72" s="51"/>
      <c r="J72" s="52"/>
      <c r="L72" s="53"/>
      <c r="M72" s="54"/>
      <c r="N72" s="55"/>
    </row>
    <row r="73" spans="1:14" ht="16.5" x14ac:dyDescent="0.2">
      <c r="A73">
        <v>81</v>
      </c>
      <c r="B73" s="33" t="s">
        <v>78</v>
      </c>
      <c r="C73" s="34"/>
      <c r="D73" s="35"/>
      <c r="E73" s="36">
        <f t="shared" si="5"/>
        <v>0</v>
      </c>
      <c r="F73" s="50" t="s">
        <v>28</v>
      </c>
      <c r="G73" s="38">
        <v>184</v>
      </c>
      <c r="H73" s="39">
        <f t="shared" si="4"/>
        <v>0</v>
      </c>
      <c r="I73" s="51"/>
      <c r="J73" s="52"/>
      <c r="L73" s="53"/>
      <c r="M73" s="54"/>
      <c r="N73" s="55"/>
    </row>
    <row r="74" spans="1:14" ht="16.5" x14ac:dyDescent="0.2">
      <c r="A74">
        <v>82</v>
      </c>
      <c r="B74" s="33" t="s">
        <v>79</v>
      </c>
      <c r="C74" s="34"/>
      <c r="D74" s="35"/>
      <c r="E74" s="36">
        <f t="shared" si="5"/>
        <v>0</v>
      </c>
      <c r="F74" s="50" t="s">
        <v>28</v>
      </c>
      <c r="G74" s="38">
        <v>207</v>
      </c>
      <c r="H74" s="39">
        <f t="shared" si="4"/>
        <v>0</v>
      </c>
      <c r="I74" s="51"/>
      <c r="J74" s="52"/>
      <c r="L74" s="53"/>
      <c r="M74" s="54"/>
      <c r="N74" s="55"/>
    </row>
    <row r="75" spans="1:14" ht="16.5" x14ac:dyDescent="0.2">
      <c r="A75">
        <v>83</v>
      </c>
      <c r="B75" s="33" t="s">
        <v>80</v>
      </c>
      <c r="C75" s="34"/>
      <c r="D75" s="35"/>
      <c r="E75" s="36">
        <f t="shared" si="5"/>
        <v>0</v>
      </c>
      <c r="F75" s="50" t="s">
        <v>28</v>
      </c>
      <c r="G75" s="38">
        <v>274</v>
      </c>
      <c r="H75" s="39">
        <f t="shared" si="4"/>
        <v>0</v>
      </c>
      <c r="I75" s="51"/>
      <c r="J75" s="52"/>
      <c r="L75" s="53"/>
      <c r="M75" s="54"/>
      <c r="N75" s="55"/>
    </row>
    <row r="76" spans="1:14" ht="16.5" x14ac:dyDescent="0.2">
      <c r="A76">
        <v>84</v>
      </c>
      <c r="B76" s="33" t="s">
        <v>81</v>
      </c>
      <c r="C76" s="34"/>
      <c r="D76" s="35"/>
      <c r="E76" s="36">
        <f t="shared" si="5"/>
        <v>0</v>
      </c>
      <c r="F76" s="50" t="s">
        <v>28</v>
      </c>
      <c r="G76" s="38">
        <v>273</v>
      </c>
      <c r="H76" s="39">
        <f t="shared" si="4"/>
        <v>0</v>
      </c>
      <c r="I76" s="51"/>
      <c r="J76" s="52"/>
      <c r="L76" s="53"/>
      <c r="M76" s="54"/>
      <c r="N76" s="55"/>
    </row>
    <row r="77" spans="1:14" ht="16.5" x14ac:dyDescent="0.2">
      <c r="A77">
        <v>85</v>
      </c>
      <c r="B77" s="33" t="s">
        <v>82</v>
      </c>
      <c r="C77" s="34"/>
      <c r="D77" s="35"/>
      <c r="E77" s="36">
        <f t="shared" si="5"/>
        <v>0</v>
      </c>
      <c r="F77" s="50" t="s">
        <v>28</v>
      </c>
      <c r="G77" s="38">
        <v>273</v>
      </c>
      <c r="H77" s="39">
        <f t="shared" si="4"/>
        <v>0</v>
      </c>
      <c r="I77" s="51"/>
      <c r="J77" s="52"/>
      <c r="L77" s="53"/>
      <c r="M77" s="54"/>
      <c r="N77" s="55"/>
    </row>
    <row r="78" spans="1:14" ht="16.5" x14ac:dyDescent="0.2">
      <c r="A78">
        <v>86</v>
      </c>
      <c r="B78" s="33" t="s">
        <v>83</v>
      </c>
      <c r="C78" s="34"/>
      <c r="D78" s="35"/>
      <c r="E78" s="36">
        <f t="shared" si="5"/>
        <v>0</v>
      </c>
      <c r="F78" s="50" t="s">
        <v>28</v>
      </c>
      <c r="G78" s="38">
        <v>303</v>
      </c>
      <c r="H78" s="39">
        <f t="shared" si="4"/>
        <v>0</v>
      </c>
      <c r="I78" s="51"/>
      <c r="J78" s="52"/>
      <c r="L78" s="53"/>
      <c r="M78" s="54"/>
      <c r="N78" s="55"/>
    </row>
    <row r="79" spans="1:14" ht="16.5" x14ac:dyDescent="0.2">
      <c r="A79">
        <v>87</v>
      </c>
      <c r="B79" s="33" t="s">
        <v>84</v>
      </c>
      <c r="C79" s="34"/>
      <c r="D79" s="35"/>
      <c r="E79" s="36">
        <f t="shared" si="5"/>
        <v>0</v>
      </c>
      <c r="F79" s="50" t="s">
        <v>28</v>
      </c>
      <c r="G79" s="38">
        <v>651</v>
      </c>
      <c r="H79" s="39">
        <f t="shared" si="4"/>
        <v>0</v>
      </c>
      <c r="I79" s="51"/>
      <c r="J79" s="52"/>
      <c r="L79" s="53"/>
      <c r="M79" s="54"/>
      <c r="N79" s="55"/>
    </row>
    <row r="80" spans="1:14" ht="16.5" x14ac:dyDescent="0.2">
      <c r="A80">
        <v>88</v>
      </c>
      <c r="B80" s="33" t="s">
        <v>85</v>
      </c>
      <c r="C80" s="34"/>
      <c r="D80" s="35"/>
      <c r="E80" s="36">
        <f t="shared" si="5"/>
        <v>0</v>
      </c>
      <c r="F80" s="50" t="s">
        <v>28</v>
      </c>
      <c r="G80" s="38">
        <v>671</v>
      </c>
      <c r="H80" s="39">
        <f t="shared" si="4"/>
        <v>0</v>
      </c>
      <c r="I80" s="51"/>
      <c r="J80" s="52"/>
      <c r="L80" s="53"/>
      <c r="M80" s="54"/>
      <c r="N80" s="55"/>
    </row>
    <row r="81" spans="1:14" ht="16.5" x14ac:dyDescent="0.2">
      <c r="A81">
        <v>89</v>
      </c>
      <c r="B81" s="33" t="s">
        <v>86</v>
      </c>
      <c r="C81" s="34"/>
      <c r="D81" s="35"/>
      <c r="E81" s="36">
        <f t="shared" si="5"/>
        <v>0</v>
      </c>
      <c r="F81" s="50" t="s">
        <v>28</v>
      </c>
      <c r="G81" s="38">
        <v>817</v>
      </c>
      <c r="H81" s="39">
        <f t="shared" si="4"/>
        <v>0</v>
      </c>
      <c r="I81" s="51"/>
      <c r="J81" s="52"/>
      <c r="L81" s="53"/>
      <c r="M81" s="54"/>
      <c r="N81" s="55"/>
    </row>
    <row r="82" spans="1:14" ht="21" customHeight="1" x14ac:dyDescent="0.3">
      <c r="A82">
        <v>90</v>
      </c>
      <c r="B82" s="60"/>
      <c r="C82" s="34"/>
      <c r="D82" s="35"/>
      <c r="E82" s="36"/>
      <c r="F82" s="50"/>
      <c r="G82" s="38"/>
      <c r="H82" s="39">
        <f t="shared" si="4"/>
        <v>0</v>
      </c>
      <c r="I82" s="51"/>
      <c r="J82" s="51"/>
    </row>
    <row r="83" spans="1:14" s="19" customFormat="1" ht="33.75" customHeight="1" x14ac:dyDescent="0.3">
      <c r="A83" s="19">
        <v>91</v>
      </c>
      <c r="B83" s="62" t="s">
        <v>87</v>
      </c>
      <c r="C83" s="21"/>
      <c r="D83" s="22"/>
      <c r="E83" s="48"/>
      <c r="F83" s="63"/>
      <c r="G83" s="31"/>
      <c r="H83" s="49">
        <f t="shared" si="4"/>
        <v>0</v>
      </c>
      <c r="I83" s="51"/>
      <c r="J83" s="51"/>
    </row>
    <row r="84" spans="1:14" ht="21" customHeight="1" x14ac:dyDescent="0.2">
      <c r="A84">
        <v>92</v>
      </c>
      <c r="B84" s="33" t="s">
        <v>88</v>
      </c>
      <c r="C84" s="34"/>
      <c r="D84" s="35"/>
      <c r="E84" s="36">
        <f t="shared" ref="E84:E96" si="6">SUM(C84:D84)</f>
        <v>0</v>
      </c>
      <c r="F84" s="50" t="s">
        <v>28</v>
      </c>
      <c r="G84" s="38">
        <v>177</v>
      </c>
      <c r="H84" s="39">
        <f t="shared" si="4"/>
        <v>0</v>
      </c>
      <c r="I84" s="51"/>
      <c r="J84" s="52"/>
      <c r="L84" s="53"/>
      <c r="M84" s="54"/>
      <c r="N84" s="55"/>
    </row>
    <row r="85" spans="1:14" ht="17.25" customHeight="1" x14ac:dyDescent="0.2">
      <c r="A85">
        <v>93</v>
      </c>
      <c r="B85" s="33" t="s">
        <v>89</v>
      </c>
      <c r="C85" s="34"/>
      <c r="D85" s="35"/>
      <c r="E85" s="36">
        <f t="shared" si="6"/>
        <v>0</v>
      </c>
      <c r="F85" s="50" t="s">
        <v>28</v>
      </c>
      <c r="G85" s="38">
        <v>177</v>
      </c>
      <c r="H85" s="39">
        <f t="shared" si="4"/>
        <v>0</v>
      </c>
      <c r="I85" s="51"/>
      <c r="J85" s="52"/>
      <c r="L85" s="53"/>
      <c r="M85" s="54"/>
      <c r="N85" s="55"/>
    </row>
    <row r="86" spans="1:14" ht="17.25" customHeight="1" x14ac:dyDescent="0.2">
      <c r="A86">
        <v>94</v>
      </c>
      <c r="B86" s="33" t="s">
        <v>90</v>
      </c>
      <c r="C86" s="34"/>
      <c r="D86" s="35"/>
      <c r="E86" s="36">
        <f t="shared" si="6"/>
        <v>0</v>
      </c>
      <c r="F86" s="50" t="s">
        <v>28</v>
      </c>
      <c r="G86" s="38">
        <v>177</v>
      </c>
      <c r="H86" s="39">
        <f t="shared" si="4"/>
        <v>0</v>
      </c>
      <c r="I86" s="51"/>
      <c r="J86" s="52"/>
      <c r="L86" s="53"/>
      <c r="M86" s="54"/>
      <c r="N86" s="55"/>
    </row>
    <row r="87" spans="1:14" ht="17.25" customHeight="1" x14ac:dyDescent="0.2">
      <c r="A87">
        <v>95</v>
      </c>
      <c r="B87" s="33" t="s">
        <v>91</v>
      </c>
      <c r="C87" s="34"/>
      <c r="D87" s="35"/>
      <c r="E87" s="36">
        <f t="shared" si="6"/>
        <v>0</v>
      </c>
      <c r="F87" s="50" t="s">
        <v>28</v>
      </c>
      <c r="G87" s="38">
        <v>184</v>
      </c>
      <c r="H87" s="39">
        <f t="shared" si="4"/>
        <v>0</v>
      </c>
      <c r="I87" s="51"/>
      <c r="J87" s="52"/>
      <c r="L87" s="53"/>
      <c r="M87" s="54"/>
      <c r="N87" s="55"/>
    </row>
    <row r="88" spans="1:14" ht="17.25" customHeight="1" x14ac:dyDescent="0.2">
      <c r="A88">
        <v>96</v>
      </c>
      <c r="B88" s="33" t="s">
        <v>92</v>
      </c>
      <c r="C88" s="34"/>
      <c r="D88" s="35"/>
      <c r="E88" s="36">
        <f t="shared" si="6"/>
        <v>0</v>
      </c>
      <c r="F88" s="50" t="s">
        <v>28</v>
      </c>
      <c r="G88" s="38">
        <v>184</v>
      </c>
      <c r="H88" s="39">
        <f t="shared" si="4"/>
        <v>0</v>
      </c>
      <c r="I88" s="51"/>
      <c r="J88" s="52"/>
      <c r="L88" s="53"/>
      <c r="M88" s="54"/>
      <c r="N88" s="55"/>
    </row>
    <row r="89" spans="1:14" ht="16.5" x14ac:dyDescent="0.2">
      <c r="A89">
        <v>97</v>
      </c>
      <c r="B89" s="33" t="s">
        <v>93</v>
      </c>
      <c r="C89" s="34"/>
      <c r="D89" s="35"/>
      <c r="E89" s="36">
        <f t="shared" si="6"/>
        <v>0</v>
      </c>
      <c r="F89" s="50" t="s">
        <v>28</v>
      </c>
      <c r="G89" s="38">
        <v>206</v>
      </c>
      <c r="H89" s="39">
        <f t="shared" si="4"/>
        <v>0</v>
      </c>
      <c r="I89" s="51"/>
      <c r="J89" s="52"/>
      <c r="L89" s="53"/>
      <c r="M89" s="54"/>
      <c r="N89" s="55"/>
    </row>
    <row r="90" spans="1:14" ht="16.5" x14ac:dyDescent="0.2">
      <c r="A90">
        <v>98</v>
      </c>
      <c r="B90" s="33" t="s">
        <v>94</v>
      </c>
      <c r="C90" s="34"/>
      <c r="D90" s="35"/>
      <c r="E90" s="36">
        <f t="shared" si="6"/>
        <v>0</v>
      </c>
      <c r="F90" s="50" t="s">
        <v>28</v>
      </c>
      <c r="G90" s="38">
        <v>274</v>
      </c>
      <c r="H90" s="39">
        <f t="shared" si="4"/>
        <v>0</v>
      </c>
      <c r="I90" s="51"/>
      <c r="J90" s="52"/>
      <c r="L90" s="53"/>
      <c r="M90" s="54"/>
      <c r="N90" s="55"/>
    </row>
    <row r="91" spans="1:14" ht="16.5" x14ac:dyDescent="0.2">
      <c r="A91">
        <v>99</v>
      </c>
      <c r="B91" s="33" t="s">
        <v>95</v>
      </c>
      <c r="C91" s="34"/>
      <c r="D91" s="35"/>
      <c r="E91" s="36">
        <f t="shared" si="6"/>
        <v>0</v>
      </c>
      <c r="F91" s="50" t="s">
        <v>28</v>
      </c>
      <c r="G91" s="38">
        <v>273</v>
      </c>
      <c r="H91" s="39">
        <f t="shared" si="4"/>
        <v>0</v>
      </c>
      <c r="I91" s="51"/>
      <c r="J91" s="52"/>
      <c r="L91" s="53"/>
      <c r="M91" s="54"/>
      <c r="N91" s="55"/>
    </row>
    <row r="92" spans="1:14" ht="16.5" x14ac:dyDescent="0.2">
      <c r="A92">
        <v>100</v>
      </c>
      <c r="B92" s="33" t="s">
        <v>96</v>
      </c>
      <c r="C92" s="34"/>
      <c r="D92" s="35"/>
      <c r="E92" s="36">
        <f t="shared" si="6"/>
        <v>0</v>
      </c>
      <c r="F92" s="50" t="s">
        <v>28</v>
      </c>
      <c r="G92" s="38">
        <v>273</v>
      </c>
      <c r="H92" s="39">
        <f t="shared" si="4"/>
        <v>0</v>
      </c>
      <c r="I92" s="51"/>
      <c r="J92" s="52"/>
      <c r="L92" s="53"/>
      <c r="M92" s="54"/>
      <c r="N92" s="55"/>
    </row>
    <row r="93" spans="1:14" ht="16.5" x14ac:dyDescent="0.2">
      <c r="A93">
        <v>101</v>
      </c>
      <c r="B93" s="33" t="s">
        <v>97</v>
      </c>
      <c r="C93" s="34"/>
      <c r="D93" s="35"/>
      <c r="E93" s="36">
        <f t="shared" si="6"/>
        <v>0</v>
      </c>
      <c r="F93" s="50" t="s">
        <v>28</v>
      </c>
      <c r="G93" s="38">
        <v>303</v>
      </c>
      <c r="H93" s="39">
        <f t="shared" si="4"/>
        <v>0</v>
      </c>
      <c r="I93" s="51"/>
      <c r="J93" s="52"/>
      <c r="L93" s="53"/>
      <c r="M93" s="54"/>
      <c r="N93" s="55"/>
    </row>
    <row r="94" spans="1:14" ht="16.5" x14ac:dyDescent="0.2">
      <c r="A94">
        <v>102</v>
      </c>
      <c r="B94" s="33" t="s">
        <v>98</v>
      </c>
      <c r="C94" s="34"/>
      <c r="D94" s="35"/>
      <c r="E94" s="36">
        <f t="shared" si="6"/>
        <v>0</v>
      </c>
      <c r="F94" s="50" t="s">
        <v>28</v>
      </c>
      <c r="G94" s="38">
        <v>650</v>
      </c>
      <c r="H94" s="39">
        <f t="shared" si="4"/>
        <v>0</v>
      </c>
      <c r="I94" s="51"/>
      <c r="J94" s="52"/>
      <c r="L94" s="53"/>
      <c r="M94" s="54"/>
      <c r="N94" s="55"/>
    </row>
    <row r="95" spans="1:14" ht="16.5" x14ac:dyDescent="0.2">
      <c r="A95">
        <v>103</v>
      </c>
      <c r="B95" s="33" t="s">
        <v>99</v>
      </c>
      <c r="C95" s="34"/>
      <c r="D95" s="35"/>
      <c r="E95" s="36">
        <f t="shared" si="6"/>
        <v>0</v>
      </c>
      <c r="F95" s="50" t="s">
        <v>28</v>
      </c>
      <c r="G95" s="38">
        <v>672</v>
      </c>
      <c r="H95" s="39">
        <f t="shared" si="4"/>
        <v>0</v>
      </c>
      <c r="I95" s="51"/>
      <c r="J95" s="52"/>
      <c r="L95" s="53"/>
      <c r="M95" s="54"/>
      <c r="N95" s="55"/>
    </row>
    <row r="96" spans="1:14" ht="16.5" x14ac:dyDescent="0.2">
      <c r="A96">
        <v>104</v>
      </c>
      <c r="B96" s="33" t="s">
        <v>100</v>
      </c>
      <c r="C96" s="34"/>
      <c r="D96" s="35"/>
      <c r="E96" s="36">
        <f t="shared" si="6"/>
        <v>0</v>
      </c>
      <c r="F96" s="50" t="s">
        <v>28</v>
      </c>
      <c r="G96" s="38">
        <v>817</v>
      </c>
      <c r="H96" s="39">
        <f t="shared" si="4"/>
        <v>0</v>
      </c>
      <c r="I96" s="51"/>
      <c r="J96" s="52"/>
      <c r="L96" s="53"/>
      <c r="M96" s="54"/>
      <c r="N96" s="55"/>
    </row>
    <row r="97" spans="1:14" ht="16.5" x14ac:dyDescent="0.2">
      <c r="A97">
        <v>105</v>
      </c>
      <c r="B97" s="33"/>
      <c r="C97" s="34"/>
      <c r="D97" s="35"/>
      <c r="E97" s="36"/>
      <c r="F97" s="50"/>
      <c r="G97" s="38"/>
      <c r="H97" s="39">
        <f t="shared" si="4"/>
        <v>0</v>
      </c>
      <c r="I97" s="51"/>
      <c r="J97" s="51"/>
    </row>
    <row r="98" spans="1:14" s="19" customFormat="1" ht="33.75" customHeight="1" x14ac:dyDescent="0.3">
      <c r="A98" s="19">
        <v>108</v>
      </c>
      <c r="B98" s="64" t="s">
        <v>101</v>
      </c>
      <c r="C98" s="21"/>
      <c r="D98" s="22"/>
      <c r="E98" s="48"/>
      <c r="F98" s="63"/>
      <c r="G98" s="31"/>
      <c r="H98" s="49">
        <f t="shared" si="4"/>
        <v>0</v>
      </c>
      <c r="I98" s="51"/>
      <c r="J98" s="51"/>
    </row>
    <row r="99" spans="1:14" ht="16.5" x14ac:dyDescent="0.2">
      <c r="A99">
        <v>109</v>
      </c>
      <c r="B99" s="33" t="s">
        <v>102</v>
      </c>
      <c r="C99" s="34"/>
      <c r="D99" s="35"/>
      <c r="E99" s="36">
        <f t="shared" ref="E99:E129" si="7">SUM(C99:D99)</f>
        <v>0</v>
      </c>
      <c r="F99" s="50" t="s">
        <v>28</v>
      </c>
      <c r="G99" s="38">
        <v>72</v>
      </c>
      <c r="H99" s="39">
        <f t="shared" si="4"/>
        <v>0</v>
      </c>
      <c r="I99" s="51"/>
      <c r="J99" s="52"/>
      <c r="L99" s="53"/>
      <c r="M99" s="54"/>
      <c r="N99" s="55"/>
    </row>
    <row r="100" spans="1:14" ht="16.5" x14ac:dyDescent="0.2">
      <c r="A100">
        <v>110</v>
      </c>
      <c r="B100" s="33" t="s">
        <v>103</v>
      </c>
      <c r="C100" s="34"/>
      <c r="D100" s="35"/>
      <c r="E100" s="36">
        <f t="shared" si="7"/>
        <v>0</v>
      </c>
      <c r="F100" s="50" t="s">
        <v>28</v>
      </c>
      <c r="G100" s="38">
        <v>76</v>
      </c>
      <c r="H100" s="39">
        <f t="shared" si="4"/>
        <v>0</v>
      </c>
      <c r="I100" s="51"/>
      <c r="J100" s="52"/>
      <c r="L100" s="53"/>
      <c r="M100" s="54"/>
      <c r="N100" s="55"/>
    </row>
    <row r="101" spans="1:14" ht="16.5" x14ac:dyDescent="0.2">
      <c r="A101">
        <v>111</v>
      </c>
      <c r="B101" s="33" t="s">
        <v>104</v>
      </c>
      <c r="C101" s="34"/>
      <c r="D101" s="35"/>
      <c r="E101" s="36">
        <f t="shared" si="7"/>
        <v>0</v>
      </c>
      <c r="F101" s="50" t="s">
        <v>28</v>
      </c>
      <c r="G101" s="38">
        <v>81</v>
      </c>
      <c r="H101" s="39">
        <f t="shared" si="4"/>
        <v>0</v>
      </c>
      <c r="I101" s="51"/>
      <c r="J101" s="52"/>
      <c r="L101" s="53"/>
      <c r="M101" s="54"/>
      <c r="N101" s="55"/>
    </row>
    <row r="102" spans="1:14" ht="16.5" x14ac:dyDescent="0.2">
      <c r="A102">
        <v>112</v>
      </c>
      <c r="B102" s="33" t="s">
        <v>105</v>
      </c>
      <c r="C102" s="34"/>
      <c r="D102" s="35"/>
      <c r="E102" s="36">
        <f t="shared" si="7"/>
        <v>0</v>
      </c>
      <c r="F102" s="50" t="s">
        <v>28</v>
      </c>
      <c r="G102" s="38">
        <v>90</v>
      </c>
      <c r="H102" s="39">
        <f t="shared" si="4"/>
        <v>0</v>
      </c>
      <c r="I102" s="51"/>
      <c r="J102" s="52"/>
      <c r="L102" s="53"/>
      <c r="M102" s="54"/>
      <c r="N102" s="55"/>
    </row>
    <row r="103" spans="1:14" ht="16.5" x14ac:dyDescent="0.2">
      <c r="A103">
        <v>113</v>
      </c>
      <c r="B103" s="33" t="s">
        <v>106</v>
      </c>
      <c r="C103" s="34"/>
      <c r="D103" s="35"/>
      <c r="E103" s="36">
        <f t="shared" si="7"/>
        <v>0</v>
      </c>
      <c r="F103" s="50" t="s">
        <v>28</v>
      </c>
      <c r="G103" s="38">
        <v>118</v>
      </c>
      <c r="H103" s="39">
        <f t="shared" si="4"/>
        <v>0</v>
      </c>
      <c r="I103" s="51"/>
      <c r="J103" s="52"/>
      <c r="L103" s="53"/>
      <c r="M103" s="54"/>
      <c r="N103" s="55"/>
    </row>
    <row r="104" spans="1:14" ht="16.5" x14ac:dyDescent="0.2">
      <c r="A104">
        <v>114</v>
      </c>
      <c r="B104" s="33" t="s">
        <v>107</v>
      </c>
      <c r="C104" s="34"/>
      <c r="D104" s="35"/>
      <c r="E104" s="36">
        <f t="shared" si="7"/>
        <v>0</v>
      </c>
      <c r="F104" s="50" t="s">
        <v>28</v>
      </c>
      <c r="G104" s="38">
        <v>125</v>
      </c>
      <c r="H104" s="39">
        <f t="shared" si="4"/>
        <v>0</v>
      </c>
      <c r="I104" s="51"/>
      <c r="J104" s="52"/>
      <c r="L104" s="53"/>
      <c r="M104" s="54"/>
      <c r="N104" s="55"/>
    </row>
    <row r="105" spans="1:14" ht="16.5" x14ac:dyDescent="0.2">
      <c r="A105">
        <v>115</v>
      </c>
      <c r="B105" s="33" t="s">
        <v>108</v>
      </c>
      <c r="C105" s="34"/>
      <c r="D105" s="35"/>
      <c r="E105" s="36">
        <f t="shared" si="7"/>
        <v>0</v>
      </c>
      <c r="F105" s="50" t="s">
        <v>28</v>
      </c>
      <c r="G105" s="38">
        <v>146</v>
      </c>
      <c r="H105" s="39">
        <f t="shared" si="4"/>
        <v>0</v>
      </c>
      <c r="I105" s="51"/>
      <c r="J105" s="52"/>
      <c r="L105" s="53"/>
      <c r="M105" s="54"/>
      <c r="N105" s="55"/>
    </row>
    <row r="106" spans="1:14" ht="16.5" x14ac:dyDescent="0.2">
      <c r="A106">
        <v>116</v>
      </c>
      <c r="B106" s="33" t="s">
        <v>109</v>
      </c>
      <c r="C106" s="34"/>
      <c r="D106" s="35"/>
      <c r="E106" s="36">
        <f t="shared" si="7"/>
        <v>0</v>
      </c>
      <c r="F106" s="50" t="s">
        <v>28</v>
      </c>
      <c r="G106" s="38">
        <v>159</v>
      </c>
      <c r="H106" s="39">
        <f t="shared" si="4"/>
        <v>0</v>
      </c>
      <c r="I106" s="51"/>
      <c r="J106" s="52"/>
      <c r="L106" s="53"/>
      <c r="M106" s="54"/>
      <c r="N106" s="55"/>
    </row>
    <row r="107" spans="1:14" ht="16.5" x14ac:dyDescent="0.2">
      <c r="A107">
        <v>117</v>
      </c>
      <c r="B107" s="33" t="s">
        <v>110</v>
      </c>
      <c r="C107" s="34"/>
      <c r="D107" s="35"/>
      <c r="E107" s="36">
        <f t="shared" si="7"/>
        <v>0</v>
      </c>
      <c r="F107" s="50" t="s">
        <v>28</v>
      </c>
      <c r="G107" s="38">
        <v>173</v>
      </c>
      <c r="H107" s="39">
        <f t="shared" si="4"/>
        <v>0</v>
      </c>
      <c r="I107" s="51"/>
      <c r="J107" s="52"/>
      <c r="L107" s="53"/>
      <c r="M107" s="54"/>
      <c r="N107" s="55"/>
    </row>
    <row r="108" spans="1:14" ht="16.5" x14ac:dyDescent="0.2">
      <c r="A108">
        <v>118</v>
      </c>
      <c r="B108" s="33" t="s">
        <v>111</v>
      </c>
      <c r="C108" s="34"/>
      <c r="D108" s="35"/>
      <c r="E108" s="36">
        <f t="shared" si="7"/>
        <v>0</v>
      </c>
      <c r="F108" s="50" t="s">
        <v>28</v>
      </c>
      <c r="G108" s="38">
        <v>205</v>
      </c>
      <c r="H108" s="39">
        <f t="shared" si="4"/>
        <v>0</v>
      </c>
      <c r="I108" s="51"/>
      <c r="J108" s="52"/>
      <c r="L108" s="53"/>
      <c r="M108" s="54"/>
      <c r="N108" s="55"/>
    </row>
    <row r="109" spans="1:14" ht="16.5" x14ac:dyDescent="0.2">
      <c r="A109">
        <v>119</v>
      </c>
      <c r="B109" s="33" t="s">
        <v>112</v>
      </c>
      <c r="C109" s="34"/>
      <c r="D109" s="35"/>
      <c r="E109" s="36">
        <f t="shared" si="7"/>
        <v>0</v>
      </c>
      <c r="F109" s="50" t="s">
        <v>28</v>
      </c>
      <c r="G109" s="38">
        <v>48</v>
      </c>
      <c r="H109" s="39">
        <f t="shared" si="4"/>
        <v>0</v>
      </c>
      <c r="I109" s="51"/>
      <c r="J109" s="52"/>
      <c r="L109" s="53"/>
      <c r="M109" s="54"/>
      <c r="N109" s="55"/>
    </row>
    <row r="110" spans="1:14" ht="16.5" x14ac:dyDescent="0.2">
      <c r="A110">
        <v>120</v>
      </c>
      <c r="B110" s="33" t="s">
        <v>113</v>
      </c>
      <c r="C110" s="34"/>
      <c r="D110" s="35"/>
      <c r="E110" s="36">
        <f t="shared" si="7"/>
        <v>0</v>
      </c>
      <c r="F110" s="50" t="s">
        <v>28</v>
      </c>
      <c r="G110" s="38">
        <v>48</v>
      </c>
      <c r="H110" s="39">
        <f t="shared" si="4"/>
        <v>0</v>
      </c>
      <c r="I110" s="51"/>
      <c r="J110" s="52"/>
      <c r="L110" s="53"/>
      <c r="M110" s="54"/>
      <c r="N110" s="55"/>
    </row>
    <row r="111" spans="1:14" ht="16.5" x14ac:dyDescent="0.2">
      <c r="A111">
        <v>121</v>
      </c>
      <c r="B111" s="33" t="s">
        <v>114</v>
      </c>
      <c r="C111" s="34"/>
      <c r="D111" s="35"/>
      <c r="E111" s="36">
        <f t="shared" si="7"/>
        <v>0</v>
      </c>
      <c r="F111" s="50" t="s">
        <v>28</v>
      </c>
      <c r="G111" s="38">
        <v>55</v>
      </c>
      <c r="H111" s="39">
        <f t="shared" si="4"/>
        <v>0</v>
      </c>
      <c r="I111" s="51"/>
      <c r="J111" s="52"/>
      <c r="L111" s="53"/>
      <c r="M111" s="54"/>
      <c r="N111" s="55"/>
    </row>
    <row r="112" spans="1:14" ht="16.5" x14ac:dyDescent="0.2">
      <c r="A112">
        <v>122</v>
      </c>
      <c r="B112" s="33" t="s">
        <v>115</v>
      </c>
      <c r="C112" s="34"/>
      <c r="D112" s="35"/>
      <c r="E112" s="36">
        <f t="shared" si="7"/>
        <v>0</v>
      </c>
      <c r="F112" s="50" t="s">
        <v>28</v>
      </c>
      <c r="G112" s="38">
        <v>55</v>
      </c>
      <c r="H112" s="39">
        <f t="shared" si="4"/>
        <v>0</v>
      </c>
      <c r="I112" s="51"/>
      <c r="J112" s="52"/>
      <c r="L112" s="53"/>
      <c r="M112" s="54"/>
      <c r="N112" s="55"/>
    </row>
    <row r="113" spans="1:14" ht="16.5" x14ac:dyDescent="0.2">
      <c r="A113">
        <v>123</v>
      </c>
      <c r="B113" s="33" t="s">
        <v>116</v>
      </c>
      <c r="C113" s="34"/>
      <c r="D113" s="35"/>
      <c r="E113" s="36">
        <f t="shared" si="7"/>
        <v>0</v>
      </c>
      <c r="F113" s="50" t="s">
        <v>28</v>
      </c>
      <c r="G113" s="38">
        <v>69</v>
      </c>
      <c r="H113" s="39">
        <f t="shared" si="4"/>
        <v>0</v>
      </c>
      <c r="I113" s="51"/>
      <c r="J113" s="52"/>
      <c r="L113" s="53"/>
      <c r="M113" s="54"/>
      <c r="N113" s="55"/>
    </row>
    <row r="114" spans="1:14" ht="16.5" x14ac:dyDescent="0.2">
      <c r="A114">
        <v>124</v>
      </c>
      <c r="B114" s="33" t="s">
        <v>117</v>
      </c>
      <c r="C114" s="34"/>
      <c r="D114" s="35"/>
      <c r="E114" s="36">
        <f t="shared" si="7"/>
        <v>0</v>
      </c>
      <c r="F114" s="50" t="s">
        <v>28</v>
      </c>
      <c r="G114" s="38">
        <v>50</v>
      </c>
      <c r="H114" s="39">
        <f t="shared" si="4"/>
        <v>0</v>
      </c>
      <c r="I114" s="51"/>
      <c r="J114" s="52"/>
      <c r="L114" s="53"/>
      <c r="M114" s="54"/>
      <c r="N114" s="55"/>
    </row>
    <row r="115" spans="1:14" ht="16.5" x14ac:dyDescent="0.2">
      <c r="A115">
        <v>125</v>
      </c>
      <c r="B115" s="33" t="s">
        <v>118</v>
      </c>
      <c r="C115" s="34"/>
      <c r="D115" s="35"/>
      <c r="E115" s="36">
        <f t="shared" si="7"/>
        <v>0</v>
      </c>
      <c r="F115" s="50" t="s">
        <v>28</v>
      </c>
      <c r="G115" s="38">
        <v>97</v>
      </c>
      <c r="H115" s="39">
        <f t="shared" si="4"/>
        <v>0</v>
      </c>
      <c r="I115" s="51"/>
      <c r="J115" s="52"/>
      <c r="L115" s="53"/>
      <c r="M115" s="54"/>
      <c r="N115" s="55"/>
    </row>
    <row r="116" spans="1:14" ht="16.5" x14ac:dyDescent="0.2">
      <c r="A116">
        <v>126</v>
      </c>
      <c r="B116" s="33" t="s">
        <v>119</v>
      </c>
      <c r="C116" s="34"/>
      <c r="D116" s="35"/>
      <c r="E116" s="36">
        <f t="shared" si="7"/>
        <v>0</v>
      </c>
      <c r="F116" s="50" t="s">
        <v>28</v>
      </c>
      <c r="G116" s="38">
        <v>111</v>
      </c>
      <c r="H116" s="39">
        <f t="shared" si="4"/>
        <v>0</v>
      </c>
      <c r="I116" s="51"/>
      <c r="J116" s="52"/>
      <c r="L116" s="53"/>
      <c r="M116" s="54"/>
      <c r="N116" s="55"/>
    </row>
    <row r="117" spans="1:14" ht="16.5" x14ac:dyDescent="0.2">
      <c r="A117">
        <v>127</v>
      </c>
      <c r="B117" s="33" t="s">
        <v>120</v>
      </c>
      <c r="C117" s="34"/>
      <c r="D117" s="35"/>
      <c r="E117" s="36">
        <f t="shared" si="7"/>
        <v>0</v>
      </c>
      <c r="F117" s="50" t="s">
        <v>28</v>
      </c>
      <c r="G117" s="38">
        <v>125</v>
      </c>
      <c r="H117" s="39">
        <f t="shared" si="4"/>
        <v>0</v>
      </c>
      <c r="I117" s="51"/>
      <c r="J117" s="52"/>
      <c r="L117" s="53"/>
      <c r="M117" s="54"/>
      <c r="N117" s="55"/>
    </row>
    <row r="118" spans="1:14" ht="16.5" x14ac:dyDescent="0.2">
      <c r="A118">
        <v>128</v>
      </c>
      <c r="B118" s="33" t="s">
        <v>121</v>
      </c>
      <c r="C118" s="34"/>
      <c r="D118" s="35"/>
      <c r="E118" s="36">
        <f t="shared" si="7"/>
        <v>0</v>
      </c>
      <c r="F118" s="50" t="s">
        <v>28</v>
      </c>
      <c r="G118" s="38">
        <v>152</v>
      </c>
      <c r="H118" s="39">
        <f t="shared" si="4"/>
        <v>0</v>
      </c>
      <c r="I118" s="51"/>
      <c r="J118" s="52"/>
      <c r="L118" s="53"/>
      <c r="M118" s="54"/>
      <c r="N118" s="55"/>
    </row>
    <row r="119" spans="1:14" ht="16.5" x14ac:dyDescent="0.2">
      <c r="A119">
        <v>129</v>
      </c>
      <c r="B119" s="33" t="s">
        <v>122</v>
      </c>
      <c r="C119" s="34"/>
      <c r="D119" s="35"/>
      <c r="E119" s="36">
        <f t="shared" si="7"/>
        <v>0</v>
      </c>
      <c r="F119" s="50" t="s">
        <v>28</v>
      </c>
      <c r="G119" s="38">
        <v>58</v>
      </c>
      <c r="H119" s="39">
        <f t="shared" si="4"/>
        <v>0</v>
      </c>
      <c r="I119" s="51"/>
      <c r="J119" s="52"/>
      <c r="L119" s="53"/>
      <c r="M119" s="54"/>
      <c r="N119" s="55"/>
    </row>
    <row r="120" spans="1:14" ht="16.5" x14ac:dyDescent="0.2">
      <c r="A120">
        <v>130</v>
      </c>
      <c r="B120" s="33" t="s">
        <v>123</v>
      </c>
      <c r="C120" s="34"/>
      <c r="D120" s="35"/>
      <c r="E120" s="36">
        <f t="shared" si="7"/>
        <v>0</v>
      </c>
      <c r="F120" s="50" t="s">
        <v>28</v>
      </c>
      <c r="G120" s="38">
        <v>58</v>
      </c>
      <c r="H120" s="39">
        <f t="shared" si="4"/>
        <v>0</v>
      </c>
      <c r="I120" s="51"/>
      <c r="J120" s="52"/>
      <c r="L120" s="53"/>
      <c r="M120" s="54"/>
      <c r="N120" s="55"/>
    </row>
    <row r="121" spans="1:14" ht="16.5" x14ac:dyDescent="0.2">
      <c r="A121">
        <v>131</v>
      </c>
      <c r="B121" s="33" t="s">
        <v>124</v>
      </c>
      <c r="C121" s="34"/>
      <c r="D121" s="35"/>
      <c r="E121" s="36">
        <f t="shared" si="7"/>
        <v>0</v>
      </c>
      <c r="F121" s="50" t="s">
        <v>28</v>
      </c>
      <c r="G121" s="38">
        <v>65</v>
      </c>
      <c r="H121" s="39">
        <f t="shared" si="4"/>
        <v>0</v>
      </c>
      <c r="I121" s="51"/>
      <c r="J121" s="52"/>
      <c r="L121" s="53"/>
      <c r="M121" s="54"/>
      <c r="N121" s="55"/>
    </row>
    <row r="122" spans="1:14" ht="16.5" x14ac:dyDescent="0.2">
      <c r="A122">
        <v>132</v>
      </c>
      <c r="B122" s="33" t="s">
        <v>125</v>
      </c>
      <c r="C122" s="34"/>
      <c r="D122" s="35"/>
      <c r="E122" s="36">
        <f t="shared" si="7"/>
        <v>0</v>
      </c>
      <c r="F122" s="50" t="s">
        <v>28</v>
      </c>
      <c r="G122" s="38">
        <v>65</v>
      </c>
      <c r="H122" s="39">
        <f t="shared" si="4"/>
        <v>0</v>
      </c>
      <c r="I122" s="51"/>
      <c r="J122" s="52"/>
      <c r="L122" s="53"/>
      <c r="M122" s="54"/>
      <c r="N122" s="55"/>
    </row>
    <row r="123" spans="1:14" ht="16.5" x14ac:dyDescent="0.2">
      <c r="A123">
        <v>133</v>
      </c>
      <c r="B123" s="33" t="s">
        <v>126</v>
      </c>
      <c r="C123" s="34"/>
      <c r="D123" s="35"/>
      <c r="E123" s="36">
        <f t="shared" si="7"/>
        <v>0</v>
      </c>
      <c r="F123" s="50" t="s">
        <v>28</v>
      </c>
      <c r="G123" s="38">
        <v>79</v>
      </c>
      <c r="H123" s="39">
        <f t="shared" si="4"/>
        <v>0</v>
      </c>
      <c r="I123" s="51"/>
      <c r="J123" s="52"/>
      <c r="L123" s="53"/>
      <c r="M123" s="54"/>
      <c r="N123" s="55"/>
    </row>
    <row r="124" spans="1:14" ht="16.5" x14ac:dyDescent="0.2">
      <c r="A124">
        <v>134</v>
      </c>
      <c r="B124" s="33" t="s">
        <v>127</v>
      </c>
      <c r="C124" s="34"/>
      <c r="D124" s="35"/>
      <c r="E124" s="36">
        <f t="shared" si="7"/>
        <v>0</v>
      </c>
      <c r="F124" s="50" t="s">
        <v>28</v>
      </c>
      <c r="G124" s="38">
        <v>96</v>
      </c>
      <c r="H124" s="39">
        <f t="shared" si="4"/>
        <v>0</v>
      </c>
      <c r="I124" s="51"/>
      <c r="J124" s="52"/>
      <c r="L124" s="53"/>
      <c r="M124" s="54"/>
      <c r="N124" s="55"/>
    </row>
    <row r="125" spans="1:14" ht="16.5" x14ac:dyDescent="0.2">
      <c r="A125">
        <v>135</v>
      </c>
      <c r="B125" s="33" t="s">
        <v>128</v>
      </c>
      <c r="C125" s="34"/>
      <c r="D125" s="35"/>
      <c r="E125" s="36">
        <f t="shared" si="7"/>
        <v>0</v>
      </c>
      <c r="F125" s="50" t="s">
        <v>28</v>
      </c>
      <c r="G125" s="38">
        <v>112</v>
      </c>
      <c r="H125" s="39">
        <f t="shared" si="4"/>
        <v>0</v>
      </c>
      <c r="I125" s="51"/>
      <c r="J125" s="52"/>
      <c r="L125" s="53"/>
      <c r="M125" s="54"/>
      <c r="N125" s="55"/>
    </row>
    <row r="126" spans="1:14" ht="16.5" x14ac:dyDescent="0.2">
      <c r="A126">
        <v>136</v>
      </c>
      <c r="B126" s="33" t="s">
        <v>129</v>
      </c>
      <c r="C126" s="34"/>
      <c r="D126" s="35"/>
      <c r="E126" s="36">
        <f t="shared" si="7"/>
        <v>0</v>
      </c>
      <c r="F126" s="50" t="s">
        <v>28</v>
      </c>
      <c r="G126" s="38">
        <v>129</v>
      </c>
      <c r="H126" s="39">
        <f t="shared" si="4"/>
        <v>0</v>
      </c>
      <c r="I126" s="51"/>
      <c r="J126" s="52"/>
      <c r="L126" s="53"/>
      <c r="M126" s="54"/>
      <c r="N126" s="55"/>
    </row>
    <row r="127" spans="1:14" ht="16.5" x14ac:dyDescent="0.2">
      <c r="A127">
        <v>137</v>
      </c>
      <c r="B127" s="33" t="s">
        <v>130</v>
      </c>
      <c r="C127" s="34"/>
      <c r="D127" s="35"/>
      <c r="E127" s="36">
        <f t="shared" si="7"/>
        <v>0</v>
      </c>
      <c r="F127" s="50" t="s">
        <v>28</v>
      </c>
      <c r="G127" s="38">
        <v>148</v>
      </c>
      <c r="H127" s="39">
        <f t="shared" si="4"/>
        <v>0</v>
      </c>
      <c r="I127" s="51"/>
      <c r="J127" s="52"/>
      <c r="L127" s="53"/>
      <c r="M127" s="54"/>
      <c r="N127" s="55"/>
    </row>
    <row r="128" spans="1:14" ht="16.5" x14ac:dyDescent="0.2">
      <c r="A128">
        <v>138</v>
      </c>
      <c r="B128" s="33" t="s">
        <v>131</v>
      </c>
      <c r="C128" s="34"/>
      <c r="D128" s="35"/>
      <c r="E128" s="36">
        <f t="shared" si="7"/>
        <v>0</v>
      </c>
      <c r="F128" s="50" t="s">
        <v>28</v>
      </c>
      <c r="G128" s="38">
        <v>177</v>
      </c>
      <c r="H128" s="39">
        <f t="shared" si="4"/>
        <v>0</v>
      </c>
      <c r="I128" s="51"/>
      <c r="J128" s="52"/>
      <c r="L128" s="53"/>
      <c r="M128" s="54"/>
      <c r="N128" s="55"/>
    </row>
    <row r="129" spans="1:14" ht="16.5" x14ac:dyDescent="0.2">
      <c r="A129">
        <v>139</v>
      </c>
      <c r="B129" s="33" t="s">
        <v>132</v>
      </c>
      <c r="C129" s="34"/>
      <c r="D129" s="35"/>
      <c r="E129" s="36">
        <f t="shared" si="7"/>
        <v>0</v>
      </c>
      <c r="F129" s="50" t="s">
        <v>28</v>
      </c>
      <c r="G129" s="38">
        <v>100</v>
      </c>
      <c r="H129" s="39">
        <f t="shared" si="4"/>
        <v>0</v>
      </c>
      <c r="I129" s="51"/>
      <c r="J129" s="52"/>
      <c r="L129" s="53"/>
      <c r="M129" s="54"/>
      <c r="N129" s="55"/>
    </row>
    <row r="130" spans="1:14" ht="16.5" x14ac:dyDescent="0.2">
      <c r="A130">
        <v>140</v>
      </c>
      <c r="B130" s="33"/>
      <c r="C130" s="34"/>
      <c r="D130" s="35"/>
      <c r="E130" s="36"/>
      <c r="F130" s="50"/>
      <c r="G130" s="38"/>
      <c r="H130" s="39">
        <f t="shared" si="4"/>
        <v>0</v>
      </c>
      <c r="I130" s="51"/>
      <c r="J130" s="51"/>
    </row>
    <row r="131" spans="1:14" s="19" customFormat="1" ht="33.75" customHeight="1" x14ac:dyDescent="0.3">
      <c r="A131" s="19">
        <v>141</v>
      </c>
      <c r="B131" s="65" t="s">
        <v>133</v>
      </c>
      <c r="C131" s="21"/>
      <c r="D131" s="22"/>
      <c r="E131" s="48"/>
      <c r="F131" s="59"/>
      <c r="G131" s="31"/>
      <c r="H131" s="49">
        <f t="shared" si="4"/>
        <v>0</v>
      </c>
      <c r="I131" s="51"/>
      <c r="J131" s="51"/>
    </row>
    <row r="132" spans="1:14" ht="16.5" customHeight="1" x14ac:dyDescent="0.3">
      <c r="A132">
        <v>142</v>
      </c>
      <c r="B132" s="56" t="s">
        <v>134</v>
      </c>
      <c r="C132" s="34"/>
      <c r="D132" s="35"/>
      <c r="E132" s="36">
        <f>SUM(C132:D132)</f>
        <v>0</v>
      </c>
      <c r="F132" s="50" t="s">
        <v>28</v>
      </c>
      <c r="G132" s="38">
        <v>175</v>
      </c>
      <c r="H132" s="39">
        <f t="shared" si="4"/>
        <v>0</v>
      </c>
      <c r="I132" s="51"/>
      <c r="J132" s="52"/>
      <c r="L132" s="53"/>
      <c r="M132" s="54"/>
      <c r="N132" s="55"/>
    </row>
    <row r="133" spans="1:14" ht="16.5" customHeight="1" x14ac:dyDescent="0.3">
      <c r="A133">
        <v>143</v>
      </c>
      <c r="B133" s="56" t="s">
        <v>135</v>
      </c>
      <c r="C133" s="34"/>
      <c r="D133" s="35"/>
      <c r="E133" s="36">
        <f>SUM(C133:D133)</f>
        <v>0</v>
      </c>
      <c r="F133" s="50" t="s">
        <v>28</v>
      </c>
      <c r="G133" s="38">
        <v>116</v>
      </c>
      <c r="H133" s="39">
        <f t="shared" ref="H133:H201" si="8">E133*G133</f>
        <v>0</v>
      </c>
      <c r="I133" s="51"/>
      <c r="J133" s="52"/>
      <c r="L133" s="53"/>
      <c r="M133" s="54"/>
      <c r="N133" s="55"/>
    </row>
    <row r="134" spans="1:14" ht="16.5" customHeight="1" x14ac:dyDescent="0.3">
      <c r="A134">
        <v>144</v>
      </c>
      <c r="B134" s="56" t="s">
        <v>136</v>
      </c>
      <c r="C134" s="34"/>
      <c r="D134" s="35"/>
      <c r="E134" s="36">
        <f>SUM(C134:D134)</f>
        <v>0</v>
      </c>
      <c r="F134" s="50" t="s">
        <v>28</v>
      </c>
      <c r="G134" s="38">
        <v>394</v>
      </c>
      <c r="H134" s="39">
        <f t="shared" si="8"/>
        <v>0</v>
      </c>
      <c r="I134" s="51"/>
      <c r="J134" s="52"/>
      <c r="L134" s="53"/>
      <c r="M134" s="54"/>
      <c r="N134" s="55"/>
    </row>
    <row r="135" spans="1:14" ht="16.5" customHeight="1" x14ac:dyDescent="0.2">
      <c r="A135">
        <v>145</v>
      </c>
      <c r="B135" s="66"/>
      <c r="C135" s="34"/>
      <c r="D135" s="35"/>
      <c r="E135" s="36"/>
      <c r="F135" s="61"/>
      <c r="G135" s="38"/>
      <c r="H135" s="39">
        <f t="shared" si="8"/>
        <v>0</v>
      </c>
      <c r="I135" s="51"/>
      <c r="J135" s="51"/>
    </row>
    <row r="136" spans="1:14" ht="33.75" customHeight="1" x14ac:dyDescent="0.2">
      <c r="A136">
        <v>146</v>
      </c>
      <c r="B136" s="67" t="s">
        <v>137</v>
      </c>
      <c r="C136" s="34"/>
      <c r="D136" s="35"/>
      <c r="E136" s="36"/>
      <c r="F136" s="61"/>
      <c r="G136" s="38"/>
      <c r="H136" s="39">
        <f t="shared" si="8"/>
        <v>0</v>
      </c>
      <c r="I136" s="51"/>
      <c r="J136" s="51"/>
    </row>
    <row r="137" spans="1:14" ht="16.5" customHeight="1" x14ac:dyDescent="0.2">
      <c r="A137">
        <v>147</v>
      </c>
      <c r="B137" s="33" t="s">
        <v>138</v>
      </c>
      <c r="C137" s="34"/>
      <c r="D137" s="35"/>
      <c r="E137" s="36">
        <f t="shared" ref="E137:E169" si="9">SUM(C137:D137)</f>
        <v>0</v>
      </c>
      <c r="F137" s="37" t="s">
        <v>22</v>
      </c>
      <c r="G137" s="38">
        <v>1430</v>
      </c>
      <c r="H137" s="39">
        <f>E137*G137</f>
        <v>0</v>
      </c>
      <c r="I137" s="51"/>
      <c r="J137" s="52"/>
      <c r="L137" s="53"/>
      <c r="M137" s="54"/>
      <c r="N137" s="55"/>
    </row>
    <row r="138" spans="1:14" ht="16.5" customHeight="1" x14ac:dyDescent="0.2">
      <c r="A138">
        <v>147</v>
      </c>
      <c r="B138" s="33" t="s">
        <v>139</v>
      </c>
      <c r="C138" s="34"/>
      <c r="D138" s="35"/>
      <c r="E138" s="36">
        <f t="shared" si="9"/>
        <v>0</v>
      </c>
      <c r="F138" s="37" t="s">
        <v>22</v>
      </c>
      <c r="G138" s="38">
        <v>1205</v>
      </c>
      <c r="H138" s="39">
        <f t="shared" si="8"/>
        <v>0</v>
      </c>
      <c r="I138" s="51"/>
      <c r="J138" s="52"/>
      <c r="L138" s="53"/>
      <c r="M138" s="54"/>
      <c r="N138" s="55"/>
    </row>
    <row r="139" spans="1:14" ht="16.5" customHeight="1" x14ac:dyDescent="0.2">
      <c r="A139">
        <v>148</v>
      </c>
      <c r="B139" s="33" t="s">
        <v>140</v>
      </c>
      <c r="C139" s="34"/>
      <c r="D139" s="35"/>
      <c r="E139" s="36">
        <f t="shared" si="9"/>
        <v>0</v>
      </c>
      <c r="F139" s="37" t="s">
        <v>22</v>
      </c>
      <c r="G139" s="38">
        <v>1002</v>
      </c>
      <c r="H139" s="39">
        <f t="shared" si="8"/>
        <v>0</v>
      </c>
      <c r="I139" s="51"/>
      <c r="J139" s="52"/>
      <c r="L139" s="53"/>
      <c r="M139" s="54"/>
      <c r="N139" s="55"/>
    </row>
    <row r="140" spans="1:14" ht="16.5" customHeight="1" x14ac:dyDescent="0.2">
      <c r="A140">
        <v>149</v>
      </c>
      <c r="B140" s="33" t="s">
        <v>141</v>
      </c>
      <c r="C140" s="34"/>
      <c r="D140" s="35"/>
      <c r="E140" s="36">
        <f t="shared" si="9"/>
        <v>0</v>
      </c>
      <c r="F140" s="37" t="s">
        <v>22</v>
      </c>
      <c r="G140" s="38">
        <v>785</v>
      </c>
      <c r="H140" s="39">
        <f t="shared" si="8"/>
        <v>0</v>
      </c>
      <c r="I140" s="51"/>
      <c r="J140" s="52"/>
      <c r="L140" s="53"/>
      <c r="M140" s="54"/>
      <c r="N140" s="55"/>
    </row>
    <row r="141" spans="1:14" ht="16.5" customHeight="1" x14ac:dyDescent="0.2">
      <c r="A141">
        <v>150</v>
      </c>
      <c r="B141" s="33" t="s">
        <v>134</v>
      </c>
      <c r="C141" s="34"/>
      <c r="D141" s="35"/>
      <c r="E141" s="36">
        <f t="shared" si="9"/>
        <v>0</v>
      </c>
      <c r="F141" s="37" t="s">
        <v>22</v>
      </c>
      <c r="G141" s="38">
        <v>379</v>
      </c>
      <c r="H141" s="39">
        <f t="shared" si="8"/>
        <v>0</v>
      </c>
      <c r="I141" s="51"/>
      <c r="J141" s="52"/>
      <c r="L141" s="53"/>
      <c r="M141" s="54"/>
      <c r="N141" s="55"/>
    </row>
    <row r="142" spans="1:14" ht="16.5" customHeight="1" x14ac:dyDescent="0.2">
      <c r="A142">
        <v>151</v>
      </c>
      <c r="B142" s="33" t="s">
        <v>142</v>
      </c>
      <c r="C142" s="34"/>
      <c r="D142" s="35"/>
      <c r="E142" s="36">
        <f t="shared" si="9"/>
        <v>0</v>
      </c>
      <c r="F142" s="37" t="s">
        <v>22</v>
      </c>
      <c r="G142" s="38">
        <v>314</v>
      </c>
      <c r="H142" s="39">
        <f t="shared" si="8"/>
        <v>0</v>
      </c>
      <c r="I142" s="51"/>
      <c r="J142" s="52"/>
      <c r="L142" s="53"/>
      <c r="M142" s="54"/>
      <c r="N142" s="55"/>
    </row>
    <row r="143" spans="1:14" ht="16.5" customHeight="1" x14ac:dyDescent="0.2">
      <c r="A143">
        <v>152</v>
      </c>
      <c r="B143" s="33" t="s">
        <v>135</v>
      </c>
      <c r="C143" s="34"/>
      <c r="D143" s="35"/>
      <c r="E143" s="36">
        <f t="shared" si="9"/>
        <v>0</v>
      </c>
      <c r="F143" s="37" t="s">
        <v>22</v>
      </c>
      <c r="G143" s="38">
        <v>251</v>
      </c>
      <c r="H143" s="39">
        <f t="shared" si="8"/>
        <v>0</v>
      </c>
      <c r="I143" s="51"/>
      <c r="J143" s="52"/>
      <c r="L143" s="53"/>
      <c r="M143" s="54"/>
      <c r="N143" s="55"/>
    </row>
    <row r="144" spans="1:14" ht="16.5" customHeight="1" x14ac:dyDescent="0.3">
      <c r="A144">
        <v>153</v>
      </c>
      <c r="B144" s="56" t="s">
        <v>143</v>
      </c>
      <c r="C144" s="34"/>
      <c r="D144" s="35"/>
      <c r="E144" s="36">
        <f t="shared" si="9"/>
        <v>0</v>
      </c>
      <c r="F144" s="37" t="s">
        <v>22</v>
      </c>
      <c r="G144" s="38">
        <v>227</v>
      </c>
      <c r="H144" s="39">
        <f t="shared" si="8"/>
        <v>0</v>
      </c>
      <c r="I144" s="51"/>
      <c r="J144" s="52"/>
      <c r="L144" s="53"/>
      <c r="M144" s="54"/>
      <c r="N144" s="55"/>
    </row>
    <row r="145" spans="1:14" ht="16.5" customHeight="1" x14ac:dyDescent="0.2">
      <c r="A145">
        <v>154</v>
      </c>
      <c r="B145" s="33" t="s">
        <v>144</v>
      </c>
      <c r="C145" s="34"/>
      <c r="D145" s="35"/>
      <c r="E145" s="36">
        <f t="shared" si="9"/>
        <v>0</v>
      </c>
      <c r="F145" s="50" t="s">
        <v>28</v>
      </c>
      <c r="G145" s="38">
        <v>1924</v>
      </c>
      <c r="H145" s="39">
        <f>E145*G145</f>
        <v>0</v>
      </c>
      <c r="I145" s="51"/>
      <c r="J145" s="52"/>
      <c r="L145" s="53"/>
      <c r="M145" s="54"/>
      <c r="N145" s="55"/>
    </row>
    <row r="146" spans="1:14" ht="16.5" customHeight="1" x14ac:dyDescent="0.2">
      <c r="A146">
        <v>154</v>
      </c>
      <c r="B146" s="33" t="s">
        <v>145</v>
      </c>
      <c r="C146" s="34"/>
      <c r="D146" s="35"/>
      <c r="E146" s="36">
        <f t="shared" si="9"/>
        <v>0</v>
      </c>
      <c r="F146" s="50" t="s">
        <v>28</v>
      </c>
      <c r="G146" s="38">
        <v>1344</v>
      </c>
      <c r="H146" s="39">
        <f t="shared" si="8"/>
        <v>0</v>
      </c>
      <c r="I146" s="51"/>
      <c r="J146" s="52"/>
      <c r="L146" s="53"/>
      <c r="M146" s="54"/>
      <c r="N146" s="55"/>
    </row>
    <row r="147" spans="1:14" ht="16.5" customHeight="1" x14ac:dyDescent="0.2">
      <c r="A147">
        <v>155</v>
      </c>
      <c r="B147" s="33" t="s">
        <v>146</v>
      </c>
      <c r="C147" s="34"/>
      <c r="D147" s="35"/>
      <c r="E147" s="36">
        <f t="shared" si="9"/>
        <v>0</v>
      </c>
      <c r="F147" s="50" t="s">
        <v>28</v>
      </c>
      <c r="G147" s="38">
        <v>1052</v>
      </c>
      <c r="H147" s="39">
        <f t="shared" si="8"/>
        <v>0</v>
      </c>
      <c r="I147" s="51"/>
      <c r="J147" s="52"/>
      <c r="L147" s="53"/>
      <c r="M147" s="54"/>
      <c r="N147" s="55"/>
    </row>
    <row r="148" spans="1:14" ht="16.5" customHeight="1" x14ac:dyDescent="0.2">
      <c r="A148">
        <v>156</v>
      </c>
      <c r="B148" s="33" t="s">
        <v>147</v>
      </c>
      <c r="C148" s="34"/>
      <c r="D148" s="35"/>
      <c r="E148" s="36">
        <f t="shared" si="9"/>
        <v>0</v>
      </c>
      <c r="F148" s="50" t="s">
        <v>28</v>
      </c>
      <c r="G148" s="38">
        <v>456</v>
      </c>
      <c r="H148" s="39">
        <f t="shared" si="8"/>
        <v>0</v>
      </c>
      <c r="I148" s="51"/>
      <c r="J148" s="52"/>
      <c r="L148" s="53"/>
      <c r="M148" s="54"/>
      <c r="N148" s="55"/>
    </row>
    <row r="149" spans="1:14" ht="16.5" customHeight="1" x14ac:dyDescent="0.2">
      <c r="A149">
        <v>157</v>
      </c>
      <c r="B149" s="33" t="s">
        <v>148</v>
      </c>
      <c r="C149" s="34"/>
      <c r="D149" s="35"/>
      <c r="E149" s="36">
        <f t="shared" si="9"/>
        <v>0</v>
      </c>
      <c r="F149" s="50" t="s">
        <v>28</v>
      </c>
      <c r="G149" s="38">
        <v>284</v>
      </c>
      <c r="H149" s="39">
        <f t="shared" si="8"/>
        <v>0</v>
      </c>
      <c r="I149" s="51"/>
      <c r="J149" s="52"/>
      <c r="L149" s="53"/>
      <c r="M149" s="54"/>
      <c r="N149" s="55"/>
    </row>
    <row r="150" spans="1:14" ht="16.5" customHeight="1" x14ac:dyDescent="0.2">
      <c r="A150">
        <v>158</v>
      </c>
      <c r="B150" s="33" t="s">
        <v>149</v>
      </c>
      <c r="C150" s="34"/>
      <c r="D150" s="35"/>
      <c r="E150" s="36">
        <f t="shared" si="9"/>
        <v>0</v>
      </c>
      <c r="F150" s="50" t="s">
        <v>28</v>
      </c>
      <c r="G150" s="38">
        <v>260</v>
      </c>
      <c r="H150" s="39">
        <f t="shared" si="8"/>
        <v>0</v>
      </c>
      <c r="I150" s="51"/>
      <c r="J150" s="52"/>
      <c r="L150" s="53"/>
      <c r="M150" s="54"/>
      <c r="N150" s="55"/>
    </row>
    <row r="151" spans="1:14" ht="16.5" customHeight="1" x14ac:dyDescent="0.2">
      <c r="A151">
        <v>159</v>
      </c>
      <c r="B151" s="33" t="s">
        <v>150</v>
      </c>
      <c r="C151" s="34"/>
      <c r="D151" s="35"/>
      <c r="E151" s="36">
        <f t="shared" si="9"/>
        <v>0</v>
      </c>
      <c r="F151" s="50" t="s">
        <v>28</v>
      </c>
      <c r="G151" s="38">
        <v>241</v>
      </c>
      <c r="H151" s="39">
        <f t="shared" si="8"/>
        <v>0</v>
      </c>
      <c r="I151" s="51"/>
      <c r="J151" s="52"/>
      <c r="L151" s="53"/>
      <c r="M151" s="54"/>
      <c r="N151" s="55"/>
    </row>
    <row r="152" spans="1:14" ht="16.5" customHeight="1" x14ac:dyDescent="0.2">
      <c r="A152">
        <v>160</v>
      </c>
      <c r="B152" s="33" t="s">
        <v>151</v>
      </c>
      <c r="C152" s="34"/>
      <c r="D152" s="35"/>
      <c r="E152" s="36">
        <f t="shared" si="9"/>
        <v>0</v>
      </c>
      <c r="F152" s="50" t="s">
        <v>28</v>
      </c>
      <c r="G152" s="38">
        <v>3244</v>
      </c>
      <c r="H152" s="39">
        <f>E152*G152</f>
        <v>0</v>
      </c>
      <c r="I152" s="51"/>
      <c r="J152" s="52"/>
      <c r="L152" s="53"/>
      <c r="M152" s="54"/>
      <c r="N152" s="55"/>
    </row>
    <row r="153" spans="1:14" ht="16.5" customHeight="1" x14ac:dyDescent="0.2">
      <c r="A153">
        <v>160</v>
      </c>
      <c r="B153" s="33" t="s">
        <v>152</v>
      </c>
      <c r="C153" s="34"/>
      <c r="D153" s="35"/>
      <c r="E153" s="36">
        <f t="shared" si="9"/>
        <v>0</v>
      </c>
      <c r="F153" s="50" t="s">
        <v>28</v>
      </c>
      <c r="G153" s="38">
        <v>1811</v>
      </c>
      <c r="H153" s="39">
        <f t="shared" si="8"/>
        <v>0</v>
      </c>
      <c r="I153" s="51"/>
      <c r="J153" s="52"/>
      <c r="L153" s="53"/>
      <c r="M153" s="54"/>
      <c r="N153" s="55"/>
    </row>
    <row r="154" spans="1:14" ht="16.5" customHeight="1" x14ac:dyDescent="0.2">
      <c r="A154">
        <v>161</v>
      </c>
      <c r="B154" s="33" t="s">
        <v>153</v>
      </c>
      <c r="C154" s="34"/>
      <c r="D154" s="35"/>
      <c r="E154" s="36">
        <f t="shared" si="9"/>
        <v>0</v>
      </c>
      <c r="F154" s="50" t="s">
        <v>28</v>
      </c>
      <c r="G154" s="38">
        <v>1633</v>
      </c>
      <c r="H154" s="39">
        <f t="shared" si="8"/>
        <v>0</v>
      </c>
      <c r="I154" s="51"/>
      <c r="J154" s="52"/>
      <c r="L154" s="53"/>
      <c r="M154" s="54"/>
      <c r="N154" s="55"/>
    </row>
    <row r="155" spans="1:14" ht="16.5" customHeight="1" x14ac:dyDescent="0.2">
      <c r="A155">
        <v>162</v>
      </c>
      <c r="B155" s="33" t="s">
        <v>154</v>
      </c>
      <c r="C155" s="34"/>
      <c r="D155" s="35"/>
      <c r="E155" s="36">
        <f t="shared" si="9"/>
        <v>0</v>
      </c>
      <c r="F155" s="50" t="s">
        <v>28</v>
      </c>
      <c r="G155" s="38">
        <v>549</v>
      </c>
      <c r="H155" s="39">
        <f t="shared" si="8"/>
        <v>0</v>
      </c>
      <c r="I155" s="51"/>
      <c r="J155" s="52"/>
      <c r="L155" s="53"/>
      <c r="M155" s="54"/>
      <c r="N155" s="55"/>
    </row>
    <row r="156" spans="1:14" ht="16.5" customHeight="1" x14ac:dyDescent="0.2">
      <c r="A156">
        <v>163</v>
      </c>
      <c r="B156" s="33" t="s">
        <v>155</v>
      </c>
      <c r="C156" s="34"/>
      <c r="D156" s="35"/>
      <c r="E156" s="36">
        <f t="shared" si="9"/>
        <v>0</v>
      </c>
      <c r="F156" s="50" t="s">
        <v>28</v>
      </c>
      <c r="G156" s="38">
        <v>504</v>
      </c>
      <c r="H156" s="39">
        <f t="shared" si="8"/>
        <v>0</v>
      </c>
      <c r="I156" s="51"/>
      <c r="J156" s="52"/>
      <c r="L156" s="53"/>
      <c r="M156" s="54"/>
      <c r="N156" s="55"/>
    </row>
    <row r="157" spans="1:14" ht="16.5" customHeight="1" x14ac:dyDescent="0.2">
      <c r="A157">
        <v>164</v>
      </c>
      <c r="B157" s="33" t="s">
        <v>156</v>
      </c>
      <c r="C157" s="34"/>
      <c r="D157" s="35"/>
      <c r="E157" s="36">
        <f t="shared" si="9"/>
        <v>0</v>
      </c>
      <c r="F157" s="50" t="s">
        <v>28</v>
      </c>
      <c r="G157" s="38">
        <v>325</v>
      </c>
      <c r="H157" s="39">
        <f t="shared" si="8"/>
        <v>0</v>
      </c>
      <c r="I157" s="51"/>
      <c r="J157" s="52"/>
      <c r="L157" s="53"/>
      <c r="M157" s="54"/>
      <c r="N157" s="55"/>
    </row>
    <row r="158" spans="1:14" ht="16.5" customHeight="1" x14ac:dyDescent="0.2">
      <c r="A158">
        <v>164</v>
      </c>
      <c r="B158" s="33" t="s">
        <v>157</v>
      </c>
      <c r="C158" s="34"/>
      <c r="D158" s="35"/>
      <c r="E158" s="36">
        <f t="shared" si="9"/>
        <v>0</v>
      </c>
      <c r="F158" s="50" t="s">
        <v>28</v>
      </c>
      <c r="G158" s="38">
        <v>1284</v>
      </c>
      <c r="H158" s="39">
        <f>E158*G158</f>
        <v>0</v>
      </c>
      <c r="I158" s="51"/>
      <c r="J158" s="52"/>
      <c r="L158" s="53"/>
      <c r="M158" s="54"/>
      <c r="N158" s="55"/>
    </row>
    <row r="159" spans="1:14" ht="16.5" customHeight="1" x14ac:dyDescent="0.2">
      <c r="A159">
        <v>164</v>
      </c>
      <c r="B159" s="33" t="s">
        <v>158</v>
      </c>
      <c r="C159" s="34"/>
      <c r="D159" s="35"/>
      <c r="E159" s="36">
        <f t="shared" si="9"/>
        <v>0</v>
      </c>
      <c r="F159" s="50" t="s">
        <v>28</v>
      </c>
      <c r="G159" s="38">
        <v>2313</v>
      </c>
      <c r="H159" s="39">
        <f>E159*G159</f>
        <v>0</v>
      </c>
      <c r="I159" s="51"/>
      <c r="J159" s="52"/>
      <c r="L159" s="53"/>
      <c r="M159" s="54"/>
      <c r="N159" s="55"/>
    </row>
    <row r="160" spans="1:14" ht="16.5" customHeight="1" x14ac:dyDescent="0.2">
      <c r="A160">
        <v>165</v>
      </c>
      <c r="B160" s="57" t="s">
        <v>159</v>
      </c>
      <c r="C160" s="34"/>
      <c r="D160" s="35"/>
      <c r="E160" s="36">
        <f t="shared" si="9"/>
        <v>0</v>
      </c>
      <c r="F160" s="50" t="s">
        <v>28</v>
      </c>
      <c r="G160" s="38">
        <v>623</v>
      </c>
      <c r="H160" s="39">
        <f t="shared" si="8"/>
        <v>0</v>
      </c>
      <c r="I160" s="51"/>
      <c r="J160" s="52"/>
      <c r="L160" s="53"/>
      <c r="M160" s="54"/>
      <c r="N160" s="55"/>
    </row>
    <row r="161" spans="1:14" ht="16.5" customHeight="1" x14ac:dyDescent="0.2">
      <c r="A161">
        <v>166</v>
      </c>
      <c r="B161" s="57" t="s">
        <v>160</v>
      </c>
      <c r="C161" s="34"/>
      <c r="D161" s="35"/>
      <c r="E161" s="36">
        <f t="shared" si="9"/>
        <v>0</v>
      </c>
      <c r="F161" s="50" t="s">
        <v>28</v>
      </c>
      <c r="G161" s="38">
        <v>860</v>
      </c>
      <c r="H161" s="39">
        <f t="shared" si="8"/>
        <v>0</v>
      </c>
      <c r="I161" s="51"/>
      <c r="J161" s="52"/>
      <c r="L161" s="53"/>
      <c r="M161" s="54"/>
      <c r="N161" s="55"/>
    </row>
    <row r="162" spans="1:14" ht="16.5" customHeight="1" x14ac:dyDescent="0.2">
      <c r="A162">
        <v>167</v>
      </c>
      <c r="B162" s="57" t="s">
        <v>56</v>
      </c>
      <c r="C162" s="34"/>
      <c r="D162" s="35"/>
      <c r="E162" s="36">
        <f t="shared" si="9"/>
        <v>0</v>
      </c>
      <c r="F162" s="50" t="s">
        <v>28</v>
      </c>
      <c r="G162" s="38">
        <v>499</v>
      </c>
      <c r="H162" s="39">
        <f t="shared" si="8"/>
        <v>0</v>
      </c>
      <c r="I162" s="51"/>
      <c r="J162" s="52"/>
      <c r="L162" s="53"/>
      <c r="M162" s="54"/>
      <c r="N162" s="55"/>
    </row>
    <row r="163" spans="1:14" ht="16.5" customHeight="1" x14ac:dyDescent="0.2">
      <c r="A163">
        <v>168</v>
      </c>
      <c r="B163" s="57" t="s">
        <v>57</v>
      </c>
      <c r="C163" s="34"/>
      <c r="D163" s="35"/>
      <c r="E163" s="36">
        <f t="shared" si="9"/>
        <v>0</v>
      </c>
      <c r="F163" s="50" t="s">
        <v>28</v>
      </c>
      <c r="G163" s="38">
        <v>672</v>
      </c>
      <c r="H163" s="39">
        <f t="shared" si="8"/>
        <v>0</v>
      </c>
      <c r="I163" s="51"/>
      <c r="J163" s="52"/>
      <c r="L163" s="53"/>
      <c r="M163" s="54"/>
      <c r="N163" s="55"/>
    </row>
    <row r="164" spans="1:14" ht="16.5" customHeight="1" x14ac:dyDescent="0.2">
      <c r="A164">
        <v>169</v>
      </c>
      <c r="B164" s="57" t="s">
        <v>58</v>
      </c>
      <c r="C164" s="34"/>
      <c r="D164" s="35"/>
      <c r="E164" s="36">
        <f t="shared" si="9"/>
        <v>0</v>
      </c>
      <c r="F164" s="50" t="s">
        <v>28</v>
      </c>
      <c r="G164" s="38">
        <v>568</v>
      </c>
      <c r="H164" s="39">
        <f t="shared" si="8"/>
        <v>0</v>
      </c>
      <c r="I164" s="51"/>
      <c r="J164" s="52"/>
      <c r="L164" s="53"/>
      <c r="M164" s="54"/>
      <c r="N164" s="55"/>
    </row>
    <row r="165" spans="1:14" ht="16.5" customHeight="1" x14ac:dyDescent="0.2">
      <c r="A165">
        <v>170</v>
      </c>
      <c r="B165" s="57" t="s">
        <v>161</v>
      </c>
      <c r="C165" s="34"/>
      <c r="D165" s="35"/>
      <c r="E165" s="36">
        <f t="shared" si="9"/>
        <v>0</v>
      </c>
      <c r="F165" s="50" t="s">
        <v>28</v>
      </c>
      <c r="G165" s="38">
        <v>508</v>
      </c>
      <c r="H165" s="39">
        <f t="shared" si="8"/>
        <v>0</v>
      </c>
      <c r="I165" s="51"/>
      <c r="J165" s="52"/>
      <c r="L165" s="53"/>
      <c r="M165" s="54"/>
      <c r="N165" s="55"/>
    </row>
    <row r="166" spans="1:14" ht="16.5" customHeight="1" x14ac:dyDescent="0.2">
      <c r="A166">
        <v>171</v>
      </c>
      <c r="B166" s="57" t="s">
        <v>162</v>
      </c>
      <c r="C166" s="34"/>
      <c r="D166" s="35"/>
      <c r="E166" s="36">
        <f t="shared" si="9"/>
        <v>0</v>
      </c>
      <c r="F166" s="50" t="s">
        <v>28</v>
      </c>
      <c r="G166" s="38">
        <v>324</v>
      </c>
      <c r="H166" s="39">
        <f t="shared" si="8"/>
        <v>0</v>
      </c>
      <c r="I166" s="51"/>
      <c r="J166" s="52"/>
      <c r="L166" s="53"/>
      <c r="M166" s="54"/>
      <c r="N166" s="55"/>
    </row>
    <row r="167" spans="1:14" ht="16.5" customHeight="1" x14ac:dyDescent="0.2">
      <c r="A167">
        <v>172</v>
      </c>
      <c r="B167" s="57" t="s">
        <v>61</v>
      </c>
      <c r="C167" s="34"/>
      <c r="D167" s="35"/>
      <c r="E167" s="36">
        <f t="shared" si="9"/>
        <v>0</v>
      </c>
      <c r="F167" s="50" t="s">
        <v>28</v>
      </c>
      <c r="G167" s="38">
        <v>593</v>
      </c>
      <c r="H167" s="39">
        <f t="shared" si="8"/>
        <v>0</v>
      </c>
      <c r="I167" s="51"/>
      <c r="J167" s="52"/>
      <c r="L167" s="53"/>
      <c r="M167" s="54"/>
      <c r="N167" s="55"/>
    </row>
    <row r="168" spans="1:14" ht="16.5" customHeight="1" x14ac:dyDescent="0.2">
      <c r="A168">
        <v>173</v>
      </c>
      <c r="B168" s="57" t="s">
        <v>163</v>
      </c>
      <c r="C168" s="34"/>
      <c r="D168" s="35"/>
      <c r="E168" s="36">
        <f t="shared" si="9"/>
        <v>0</v>
      </c>
      <c r="F168" s="50" t="s">
        <v>28</v>
      </c>
      <c r="G168" s="38">
        <v>519</v>
      </c>
      <c r="H168" s="39">
        <f t="shared" si="8"/>
        <v>0</v>
      </c>
      <c r="I168" s="51"/>
      <c r="J168" s="52"/>
      <c r="L168" s="53"/>
      <c r="M168" s="54"/>
      <c r="N168" s="55"/>
    </row>
    <row r="169" spans="1:14" ht="16.5" customHeight="1" x14ac:dyDescent="0.2">
      <c r="A169">
        <v>174</v>
      </c>
      <c r="B169" s="57" t="s">
        <v>164</v>
      </c>
      <c r="C169" s="34"/>
      <c r="D169" s="35"/>
      <c r="E169" s="36">
        <f t="shared" si="9"/>
        <v>0</v>
      </c>
      <c r="F169" s="50" t="s">
        <v>28</v>
      </c>
      <c r="G169" s="38">
        <v>367</v>
      </c>
      <c r="H169" s="39">
        <f t="shared" si="8"/>
        <v>0</v>
      </c>
      <c r="I169" s="51"/>
      <c r="J169" s="52"/>
      <c r="L169" s="53"/>
      <c r="M169" s="54"/>
      <c r="N169" s="55"/>
    </row>
    <row r="170" spans="1:14" ht="16.5" customHeight="1" x14ac:dyDescent="0.2">
      <c r="A170">
        <v>175</v>
      </c>
      <c r="B170" s="68"/>
      <c r="C170" s="34"/>
      <c r="D170" s="35"/>
      <c r="E170" s="36"/>
      <c r="F170" s="69"/>
      <c r="G170" s="38"/>
      <c r="H170" s="39">
        <f t="shared" si="8"/>
        <v>0</v>
      </c>
      <c r="I170" s="51"/>
      <c r="J170" s="51"/>
    </row>
    <row r="171" spans="1:14" s="19" customFormat="1" ht="33.75" customHeight="1" x14ac:dyDescent="0.3">
      <c r="A171" s="19">
        <v>176</v>
      </c>
      <c r="B171" s="70" t="s">
        <v>165</v>
      </c>
      <c r="C171" s="21"/>
      <c r="D171" s="22"/>
      <c r="E171" s="48"/>
      <c r="F171" s="59"/>
      <c r="G171" s="31"/>
      <c r="H171" s="49">
        <f t="shared" si="8"/>
        <v>0</v>
      </c>
      <c r="I171" s="51"/>
      <c r="J171" s="51"/>
    </row>
    <row r="172" spans="1:14" ht="16.5" customHeight="1" x14ac:dyDescent="0.2">
      <c r="A172">
        <v>177</v>
      </c>
      <c r="B172" s="33" t="s">
        <v>166</v>
      </c>
      <c r="C172" s="34"/>
      <c r="D172" s="35"/>
      <c r="E172" s="36">
        <f t="shared" ref="E172:E202" si="10">SUM(C172:D172)</f>
        <v>0</v>
      </c>
      <c r="F172" s="37" t="s">
        <v>22</v>
      </c>
      <c r="G172" s="38">
        <v>482</v>
      </c>
      <c r="H172" s="39">
        <f t="shared" si="8"/>
        <v>0</v>
      </c>
      <c r="I172" s="51"/>
      <c r="J172" s="52"/>
      <c r="L172" s="53"/>
      <c r="M172" s="54"/>
      <c r="N172" s="55"/>
    </row>
    <row r="173" spans="1:14" ht="16.5" customHeight="1" x14ac:dyDescent="0.2">
      <c r="A173">
        <v>178</v>
      </c>
      <c r="B173" s="33" t="s">
        <v>167</v>
      </c>
      <c r="C173" s="34"/>
      <c r="D173" s="35"/>
      <c r="E173" s="36">
        <f t="shared" si="10"/>
        <v>0</v>
      </c>
      <c r="F173" s="37" t="s">
        <v>22</v>
      </c>
      <c r="G173" s="38">
        <v>362</v>
      </c>
      <c r="H173" s="39">
        <f t="shared" si="8"/>
        <v>0</v>
      </c>
      <c r="I173" s="51"/>
      <c r="J173" s="52"/>
      <c r="L173" s="53"/>
      <c r="M173" s="54"/>
      <c r="N173" s="55"/>
    </row>
    <row r="174" spans="1:14" ht="16.5" customHeight="1" x14ac:dyDescent="0.2">
      <c r="A174">
        <v>179</v>
      </c>
      <c r="B174" s="33" t="s">
        <v>168</v>
      </c>
      <c r="C174" s="34"/>
      <c r="D174" s="35"/>
      <c r="E174" s="36">
        <f t="shared" si="10"/>
        <v>0</v>
      </c>
      <c r="F174" s="37" t="s">
        <v>22</v>
      </c>
      <c r="G174" s="38">
        <v>551</v>
      </c>
      <c r="H174" s="39">
        <f t="shared" si="8"/>
        <v>0</v>
      </c>
      <c r="I174" s="51"/>
      <c r="J174" s="52"/>
      <c r="L174" s="53"/>
      <c r="M174" s="54"/>
      <c r="N174" s="55"/>
    </row>
    <row r="175" spans="1:14" ht="16.5" customHeight="1" x14ac:dyDescent="0.2">
      <c r="A175">
        <v>180</v>
      </c>
      <c r="B175" s="33" t="s">
        <v>169</v>
      </c>
      <c r="C175" s="34"/>
      <c r="D175" s="35"/>
      <c r="E175" s="36">
        <f t="shared" si="10"/>
        <v>0</v>
      </c>
      <c r="F175" s="37" t="s">
        <v>22</v>
      </c>
      <c r="G175" s="38">
        <v>516</v>
      </c>
      <c r="H175" s="39">
        <f t="shared" si="8"/>
        <v>0</v>
      </c>
      <c r="I175" s="51"/>
      <c r="J175" s="52"/>
      <c r="L175" s="53"/>
      <c r="M175" s="54"/>
      <c r="N175" s="55"/>
    </row>
    <row r="176" spans="1:14" ht="16.5" customHeight="1" x14ac:dyDescent="0.2">
      <c r="A176">
        <v>181</v>
      </c>
      <c r="B176" s="33" t="s">
        <v>170</v>
      </c>
      <c r="C176" s="34"/>
      <c r="D176" s="35"/>
      <c r="E176" s="36">
        <f t="shared" si="10"/>
        <v>0</v>
      </c>
      <c r="F176" s="37" t="s">
        <v>22</v>
      </c>
      <c r="G176" s="38">
        <v>662</v>
      </c>
      <c r="H176" s="39">
        <f t="shared" si="8"/>
        <v>0</v>
      </c>
      <c r="I176" s="51"/>
      <c r="J176" s="52"/>
      <c r="L176" s="53"/>
      <c r="M176" s="54"/>
      <c r="N176" s="55"/>
    </row>
    <row r="177" spans="1:14" ht="16.5" customHeight="1" x14ac:dyDescent="0.2">
      <c r="A177">
        <v>182</v>
      </c>
      <c r="B177" s="33" t="s">
        <v>171</v>
      </c>
      <c r="C177" s="34"/>
      <c r="D177" s="35"/>
      <c r="E177" s="36">
        <f t="shared" si="10"/>
        <v>0</v>
      </c>
      <c r="F177" s="37" t="s">
        <v>22</v>
      </c>
      <c r="G177" s="38">
        <v>619</v>
      </c>
      <c r="H177" s="39">
        <f t="shared" si="8"/>
        <v>0</v>
      </c>
      <c r="I177" s="51"/>
      <c r="J177" s="52"/>
      <c r="L177" s="53"/>
      <c r="M177" s="54"/>
      <c r="N177" s="55"/>
    </row>
    <row r="178" spans="1:14" ht="16.5" customHeight="1" x14ac:dyDescent="0.2">
      <c r="A178">
        <v>183</v>
      </c>
      <c r="B178" s="33" t="s">
        <v>134</v>
      </c>
      <c r="C178" s="34"/>
      <c r="D178" s="35"/>
      <c r="E178" s="36">
        <f t="shared" si="10"/>
        <v>0</v>
      </c>
      <c r="F178" s="37" t="s">
        <v>22</v>
      </c>
      <c r="G178" s="38">
        <v>270</v>
      </c>
      <c r="H178" s="39">
        <f t="shared" si="8"/>
        <v>0</v>
      </c>
      <c r="I178" s="51"/>
      <c r="J178" s="52"/>
      <c r="L178" s="53"/>
      <c r="M178" s="54"/>
      <c r="N178" s="55"/>
    </row>
    <row r="179" spans="1:14" ht="16.5" customHeight="1" x14ac:dyDescent="0.2">
      <c r="A179">
        <v>184</v>
      </c>
      <c r="B179" s="33" t="s">
        <v>135</v>
      </c>
      <c r="C179" s="34"/>
      <c r="D179" s="35"/>
      <c r="E179" s="36">
        <f t="shared" si="10"/>
        <v>0</v>
      </c>
      <c r="F179" s="37" t="s">
        <v>22</v>
      </c>
      <c r="G179" s="38">
        <v>183</v>
      </c>
      <c r="H179" s="39">
        <f t="shared" si="8"/>
        <v>0</v>
      </c>
      <c r="I179" s="51"/>
      <c r="J179" s="52"/>
      <c r="L179" s="53"/>
      <c r="M179" s="54"/>
      <c r="N179" s="55"/>
    </row>
    <row r="180" spans="1:14" ht="16.5" customHeight="1" x14ac:dyDescent="0.2">
      <c r="A180">
        <v>185</v>
      </c>
      <c r="B180" s="33" t="s">
        <v>172</v>
      </c>
      <c r="C180" s="34"/>
      <c r="D180" s="35"/>
      <c r="E180" s="36">
        <f t="shared" si="10"/>
        <v>0</v>
      </c>
      <c r="F180" s="37" t="s">
        <v>22</v>
      </c>
      <c r="G180" s="38">
        <v>129</v>
      </c>
      <c r="H180" s="39">
        <f t="shared" si="8"/>
        <v>0</v>
      </c>
      <c r="I180" s="51"/>
      <c r="J180" s="52"/>
      <c r="L180" s="53"/>
      <c r="M180" s="54"/>
      <c r="N180" s="55"/>
    </row>
    <row r="181" spans="1:14" ht="16.5" customHeight="1" x14ac:dyDescent="0.2">
      <c r="A181">
        <v>186</v>
      </c>
      <c r="B181" s="33" t="s">
        <v>173</v>
      </c>
      <c r="C181" s="34"/>
      <c r="D181" s="35"/>
      <c r="E181" s="36">
        <f t="shared" si="10"/>
        <v>0</v>
      </c>
      <c r="F181" s="37" t="s">
        <v>22</v>
      </c>
      <c r="G181" s="38">
        <v>112</v>
      </c>
      <c r="H181" s="39">
        <f t="shared" si="8"/>
        <v>0</v>
      </c>
      <c r="I181" s="51"/>
      <c r="J181" s="52"/>
      <c r="L181" s="53"/>
      <c r="M181" s="54"/>
      <c r="N181" s="55"/>
    </row>
    <row r="182" spans="1:14" ht="16.5" customHeight="1" x14ac:dyDescent="0.2">
      <c r="A182">
        <v>187</v>
      </c>
      <c r="B182" s="33" t="s">
        <v>147</v>
      </c>
      <c r="C182" s="34"/>
      <c r="D182" s="35"/>
      <c r="E182" s="36">
        <f t="shared" si="10"/>
        <v>0</v>
      </c>
      <c r="F182" s="50" t="s">
        <v>28</v>
      </c>
      <c r="G182" s="38">
        <v>416</v>
      </c>
      <c r="H182" s="39">
        <f t="shared" si="8"/>
        <v>0</v>
      </c>
      <c r="I182" s="51"/>
      <c r="J182" s="52"/>
      <c r="L182" s="53"/>
      <c r="M182" s="54"/>
      <c r="N182" s="55"/>
    </row>
    <row r="183" spans="1:14" ht="16.5" customHeight="1" x14ac:dyDescent="0.2">
      <c r="A183">
        <v>188</v>
      </c>
      <c r="B183" s="33" t="s">
        <v>149</v>
      </c>
      <c r="C183" s="34"/>
      <c r="D183" s="35"/>
      <c r="E183" s="36">
        <f t="shared" si="10"/>
        <v>0</v>
      </c>
      <c r="F183" s="50" t="s">
        <v>28</v>
      </c>
      <c r="G183" s="38">
        <v>237</v>
      </c>
      <c r="H183" s="39">
        <f t="shared" si="8"/>
        <v>0</v>
      </c>
      <c r="I183" s="51"/>
      <c r="J183" s="52"/>
      <c r="L183" s="53"/>
      <c r="M183" s="54"/>
      <c r="N183" s="55"/>
    </row>
    <row r="184" spans="1:14" ht="16.5" customHeight="1" x14ac:dyDescent="0.2">
      <c r="A184">
        <v>189</v>
      </c>
      <c r="B184" s="33" t="s">
        <v>174</v>
      </c>
      <c r="C184" s="34"/>
      <c r="D184" s="35"/>
      <c r="E184" s="36">
        <f t="shared" si="10"/>
        <v>0</v>
      </c>
      <c r="F184" s="50" t="s">
        <v>28</v>
      </c>
      <c r="G184" s="38">
        <v>229</v>
      </c>
      <c r="H184" s="39">
        <f t="shared" si="8"/>
        <v>0</v>
      </c>
      <c r="I184" s="51"/>
      <c r="J184" s="52"/>
      <c r="L184" s="53"/>
      <c r="M184" s="54"/>
      <c r="N184" s="55"/>
    </row>
    <row r="185" spans="1:14" ht="16.5" customHeight="1" x14ac:dyDescent="0.2">
      <c r="A185">
        <v>190</v>
      </c>
      <c r="B185" s="33" t="s">
        <v>175</v>
      </c>
      <c r="C185" s="34"/>
      <c r="D185" s="35"/>
      <c r="E185" s="36">
        <f t="shared" si="10"/>
        <v>0</v>
      </c>
      <c r="F185" s="50" t="s">
        <v>28</v>
      </c>
      <c r="G185" s="38">
        <v>219</v>
      </c>
      <c r="H185" s="39">
        <f t="shared" si="8"/>
        <v>0</v>
      </c>
      <c r="I185" s="51"/>
      <c r="J185" s="52"/>
      <c r="L185" s="53"/>
      <c r="M185" s="54"/>
      <c r="N185" s="55"/>
    </row>
    <row r="186" spans="1:14" ht="16.5" customHeight="1" x14ac:dyDescent="0.2">
      <c r="A186">
        <v>191</v>
      </c>
      <c r="B186" s="33" t="s">
        <v>154</v>
      </c>
      <c r="C186" s="34"/>
      <c r="D186" s="35"/>
      <c r="E186" s="36">
        <f t="shared" si="10"/>
        <v>0</v>
      </c>
      <c r="F186" s="50" t="s">
        <v>28</v>
      </c>
      <c r="G186" s="38">
        <v>500</v>
      </c>
      <c r="H186" s="39">
        <f t="shared" si="8"/>
        <v>0</v>
      </c>
      <c r="I186" s="51"/>
      <c r="J186" s="52"/>
      <c r="L186" s="53"/>
      <c r="M186" s="54"/>
      <c r="N186" s="55"/>
    </row>
    <row r="187" spans="1:14" ht="16.5" customHeight="1" x14ac:dyDescent="0.2">
      <c r="A187">
        <v>192</v>
      </c>
      <c r="B187" s="33" t="s">
        <v>156</v>
      </c>
      <c r="C187" s="34"/>
      <c r="D187" s="35"/>
      <c r="E187" s="36">
        <f t="shared" si="10"/>
        <v>0</v>
      </c>
      <c r="F187" s="50" t="s">
        <v>28</v>
      </c>
      <c r="G187" s="38">
        <v>295</v>
      </c>
      <c r="H187" s="39">
        <f t="shared" si="8"/>
        <v>0</v>
      </c>
      <c r="I187" s="51"/>
      <c r="J187" s="52"/>
      <c r="L187" s="53"/>
      <c r="M187" s="54"/>
      <c r="N187" s="55"/>
    </row>
    <row r="188" spans="1:14" ht="16.5" customHeight="1" x14ac:dyDescent="0.2">
      <c r="A188">
        <v>193</v>
      </c>
      <c r="B188" s="33" t="s">
        <v>176</v>
      </c>
      <c r="C188" s="34"/>
      <c r="D188" s="35"/>
      <c r="E188" s="36">
        <f t="shared" si="10"/>
        <v>0</v>
      </c>
      <c r="F188" s="50" t="s">
        <v>28</v>
      </c>
      <c r="G188" s="38">
        <v>247</v>
      </c>
      <c r="H188" s="39">
        <f t="shared" si="8"/>
        <v>0</v>
      </c>
      <c r="I188" s="51"/>
      <c r="J188" s="52"/>
      <c r="L188" s="53"/>
      <c r="M188" s="54"/>
      <c r="N188" s="55"/>
    </row>
    <row r="189" spans="1:14" ht="16.5" customHeight="1" x14ac:dyDescent="0.2">
      <c r="A189">
        <v>194</v>
      </c>
      <c r="B189" s="33" t="s">
        <v>177</v>
      </c>
      <c r="C189" s="34"/>
      <c r="D189" s="35"/>
      <c r="E189" s="36">
        <f t="shared" si="10"/>
        <v>0</v>
      </c>
      <c r="F189" s="50" t="s">
        <v>28</v>
      </c>
      <c r="G189" s="38">
        <v>215</v>
      </c>
      <c r="H189" s="39">
        <f t="shared" si="8"/>
        <v>0</v>
      </c>
      <c r="I189" s="51"/>
      <c r="J189" s="52"/>
      <c r="L189" s="53"/>
      <c r="M189" s="54"/>
      <c r="N189" s="55"/>
    </row>
    <row r="190" spans="1:14" ht="16.5" customHeight="1" x14ac:dyDescent="0.2">
      <c r="A190">
        <v>195</v>
      </c>
      <c r="B190" s="33" t="s">
        <v>136</v>
      </c>
      <c r="C190" s="34"/>
      <c r="D190" s="35"/>
      <c r="E190" s="36">
        <f t="shared" si="10"/>
        <v>0</v>
      </c>
      <c r="F190" s="50" t="s">
        <v>28</v>
      </c>
      <c r="G190" s="38">
        <v>394</v>
      </c>
      <c r="H190" s="39">
        <f t="shared" si="8"/>
        <v>0</v>
      </c>
      <c r="I190" s="51"/>
      <c r="J190" s="52"/>
      <c r="L190" s="53"/>
      <c r="M190" s="54"/>
      <c r="N190" s="55"/>
    </row>
    <row r="191" spans="1:14" ht="16.5" customHeight="1" x14ac:dyDescent="0.2">
      <c r="A191">
        <v>232</v>
      </c>
      <c r="B191" s="33" t="s">
        <v>178</v>
      </c>
      <c r="C191" s="34"/>
      <c r="D191" s="35"/>
      <c r="E191" s="36">
        <f t="shared" si="10"/>
        <v>0</v>
      </c>
      <c r="F191" s="50" t="s">
        <v>28</v>
      </c>
      <c r="G191" s="38">
        <v>1037</v>
      </c>
      <c r="H191" s="39">
        <f>E191*G191</f>
        <v>0</v>
      </c>
      <c r="I191" s="51"/>
      <c r="J191" s="52"/>
      <c r="L191" s="53"/>
      <c r="M191" s="54"/>
      <c r="N191" s="55"/>
    </row>
    <row r="192" spans="1:14" ht="16.5" customHeight="1" x14ac:dyDescent="0.2">
      <c r="A192">
        <v>196</v>
      </c>
      <c r="B192" s="33" t="s">
        <v>52</v>
      </c>
      <c r="C192" s="34"/>
      <c r="D192" s="35"/>
      <c r="E192" s="36">
        <f t="shared" si="10"/>
        <v>0</v>
      </c>
      <c r="F192" s="50" t="s">
        <v>28</v>
      </c>
      <c r="G192" s="38">
        <v>624</v>
      </c>
      <c r="H192" s="39">
        <f t="shared" si="8"/>
        <v>0</v>
      </c>
      <c r="I192" s="51"/>
      <c r="J192" s="52"/>
      <c r="L192" s="53"/>
      <c r="M192" s="54"/>
      <c r="N192" s="55"/>
    </row>
    <row r="193" spans="1:14" ht="16.5" customHeight="1" x14ac:dyDescent="0.2">
      <c r="A193">
        <v>197</v>
      </c>
      <c r="B193" s="33" t="s">
        <v>53</v>
      </c>
      <c r="C193" s="34"/>
      <c r="D193" s="35"/>
      <c r="E193" s="36">
        <f t="shared" si="10"/>
        <v>0</v>
      </c>
      <c r="F193" s="50" t="s">
        <v>28</v>
      </c>
      <c r="G193" s="38">
        <v>555</v>
      </c>
      <c r="H193" s="39">
        <f t="shared" si="8"/>
        <v>0</v>
      </c>
      <c r="I193" s="51"/>
      <c r="J193" s="52"/>
      <c r="L193" s="53"/>
      <c r="M193" s="54"/>
      <c r="N193" s="55"/>
    </row>
    <row r="194" spans="1:14" ht="16.5" customHeight="1" x14ac:dyDescent="0.2">
      <c r="A194">
        <v>198</v>
      </c>
      <c r="B194" s="33" t="s">
        <v>54</v>
      </c>
      <c r="C194" s="34"/>
      <c r="D194" s="35"/>
      <c r="E194" s="36">
        <f t="shared" si="10"/>
        <v>0</v>
      </c>
      <c r="F194" s="50" t="s">
        <v>28</v>
      </c>
      <c r="G194" s="38">
        <v>519</v>
      </c>
      <c r="H194" s="39">
        <f t="shared" si="8"/>
        <v>0</v>
      </c>
      <c r="I194" s="51"/>
      <c r="J194" s="52"/>
      <c r="L194" s="53"/>
      <c r="M194" s="54"/>
      <c r="N194" s="55"/>
    </row>
    <row r="195" spans="1:14" ht="16.5" customHeight="1" x14ac:dyDescent="0.2">
      <c r="A195">
        <v>199</v>
      </c>
      <c r="B195" s="33" t="s">
        <v>55</v>
      </c>
      <c r="C195" s="34"/>
      <c r="D195" s="35"/>
      <c r="E195" s="36">
        <f t="shared" si="10"/>
        <v>0</v>
      </c>
      <c r="F195" s="50" t="s">
        <v>28</v>
      </c>
      <c r="G195" s="38">
        <v>506</v>
      </c>
      <c r="H195" s="39">
        <f t="shared" si="8"/>
        <v>0</v>
      </c>
      <c r="I195" s="51"/>
      <c r="J195" s="52"/>
      <c r="L195" s="53"/>
      <c r="M195" s="54"/>
      <c r="N195" s="55"/>
    </row>
    <row r="196" spans="1:14" ht="16.5" customHeight="1" x14ac:dyDescent="0.2">
      <c r="A196">
        <v>200</v>
      </c>
      <c r="B196" s="33" t="s">
        <v>56</v>
      </c>
      <c r="C196" s="34"/>
      <c r="D196" s="35"/>
      <c r="E196" s="36">
        <f t="shared" si="10"/>
        <v>0</v>
      </c>
      <c r="F196" s="50" t="s">
        <v>28</v>
      </c>
      <c r="G196" s="38">
        <v>498</v>
      </c>
      <c r="H196" s="39">
        <f t="shared" si="8"/>
        <v>0</v>
      </c>
      <c r="I196" s="51"/>
      <c r="J196" s="52"/>
      <c r="L196" s="53"/>
      <c r="M196" s="54"/>
      <c r="N196" s="55"/>
    </row>
    <row r="197" spans="1:14" ht="16.5" customHeight="1" x14ac:dyDescent="0.2">
      <c r="A197">
        <v>201</v>
      </c>
      <c r="B197" s="33" t="s">
        <v>179</v>
      </c>
      <c r="C197" s="34"/>
      <c r="D197" s="35"/>
      <c r="E197" s="36">
        <f t="shared" si="10"/>
        <v>0</v>
      </c>
      <c r="F197" s="50" t="s">
        <v>28</v>
      </c>
      <c r="G197" s="38">
        <v>165</v>
      </c>
      <c r="H197" s="39">
        <f t="shared" si="8"/>
        <v>0</v>
      </c>
      <c r="I197" s="51"/>
      <c r="J197" s="52"/>
      <c r="L197" s="53"/>
      <c r="M197" s="54"/>
      <c r="N197" s="55"/>
    </row>
    <row r="198" spans="1:14" ht="16.5" customHeight="1" x14ac:dyDescent="0.2">
      <c r="A198">
        <v>202</v>
      </c>
      <c r="B198" s="33" t="s">
        <v>180</v>
      </c>
      <c r="C198" s="34"/>
      <c r="D198" s="35"/>
      <c r="E198" s="36">
        <f t="shared" si="10"/>
        <v>0</v>
      </c>
      <c r="F198" s="50" t="s">
        <v>28</v>
      </c>
      <c r="G198" s="38">
        <v>151</v>
      </c>
      <c r="H198" s="39">
        <f t="shared" si="8"/>
        <v>0</v>
      </c>
      <c r="I198" s="51"/>
      <c r="J198" s="52"/>
      <c r="L198" s="53"/>
      <c r="M198" s="54"/>
      <c r="N198" s="55"/>
    </row>
    <row r="199" spans="1:14" ht="16.5" customHeight="1" x14ac:dyDescent="0.2">
      <c r="A199">
        <v>203</v>
      </c>
      <c r="B199" s="33" t="s">
        <v>181</v>
      </c>
      <c r="C199" s="34"/>
      <c r="D199" s="35"/>
      <c r="E199" s="36">
        <f t="shared" si="10"/>
        <v>0</v>
      </c>
      <c r="F199" s="50" t="s">
        <v>28</v>
      </c>
      <c r="G199" s="38">
        <v>222</v>
      </c>
      <c r="H199" s="39">
        <f t="shared" si="8"/>
        <v>0</v>
      </c>
      <c r="I199" s="51"/>
      <c r="J199" s="52"/>
      <c r="L199" s="53"/>
      <c r="M199" s="54"/>
      <c r="N199" s="55"/>
    </row>
    <row r="200" spans="1:14" ht="16.5" customHeight="1" x14ac:dyDescent="0.2">
      <c r="A200">
        <v>203</v>
      </c>
      <c r="B200" s="33" t="s">
        <v>182</v>
      </c>
      <c r="C200" s="34"/>
      <c r="D200" s="35"/>
      <c r="E200" s="36">
        <f t="shared" si="10"/>
        <v>0</v>
      </c>
      <c r="F200" s="50" t="s">
        <v>28</v>
      </c>
      <c r="G200" s="38">
        <v>479</v>
      </c>
      <c r="H200" s="39">
        <f>E200*G200</f>
        <v>0</v>
      </c>
      <c r="I200" s="51"/>
      <c r="J200" s="52"/>
      <c r="L200" s="53"/>
      <c r="M200" s="54"/>
      <c r="N200" s="55"/>
    </row>
    <row r="201" spans="1:14" ht="16.5" customHeight="1" x14ac:dyDescent="0.2">
      <c r="A201">
        <v>203</v>
      </c>
      <c r="B201" s="33" t="s">
        <v>183</v>
      </c>
      <c r="C201" s="34"/>
      <c r="D201" s="35"/>
      <c r="E201" s="36">
        <f t="shared" si="10"/>
        <v>0</v>
      </c>
      <c r="F201" s="50" t="s">
        <v>28</v>
      </c>
      <c r="G201" s="38">
        <v>243</v>
      </c>
      <c r="H201" s="39">
        <f>E201*G201</f>
        <v>0</v>
      </c>
      <c r="I201" s="51"/>
      <c r="J201" s="52"/>
      <c r="L201" s="53"/>
      <c r="M201" s="54"/>
      <c r="N201" s="55"/>
    </row>
    <row r="202" spans="1:14" ht="16.5" customHeight="1" x14ac:dyDescent="0.2">
      <c r="A202">
        <v>203</v>
      </c>
      <c r="B202" s="33" t="s">
        <v>184</v>
      </c>
      <c r="C202" s="34"/>
      <c r="D202" s="35"/>
      <c r="E202" s="36">
        <f t="shared" si="10"/>
        <v>0</v>
      </c>
      <c r="F202" s="50" t="s">
        <v>28</v>
      </c>
      <c r="G202" s="38">
        <v>183</v>
      </c>
      <c r="H202" s="39">
        <f t="shared" ref="H202:H284" si="11">E202*G202</f>
        <v>0</v>
      </c>
      <c r="I202" s="51"/>
      <c r="J202" s="52"/>
      <c r="L202" s="53"/>
      <c r="M202" s="54"/>
      <c r="N202" s="55"/>
    </row>
    <row r="203" spans="1:14" ht="16.5" customHeight="1" x14ac:dyDescent="0.2">
      <c r="A203">
        <v>204</v>
      </c>
      <c r="B203" s="57"/>
      <c r="C203" s="34"/>
      <c r="D203" s="35"/>
      <c r="E203" s="36"/>
      <c r="F203" s="50"/>
      <c r="G203" s="38"/>
      <c r="H203" s="39">
        <f t="shared" si="11"/>
        <v>0</v>
      </c>
      <c r="I203" s="51"/>
      <c r="J203" s="51"/>
    </row>
    <row r="204" spans="1:14" s="19" customFormat="1" ht="33.75" customHeight="1" x14ac:dyDescent="0.3">
      <c r="A204" s="19">
        <v>205</v>
      </c>
      <c r="B204" s="71" t="s">
        <v>185</v>
      </c>
      <c r="C204" s="21"/>
      <c r="D204" s="22"/>
      <c r="E204" s="48"/>
      <c r="F204" s="59"/>
      <c r="G204" s="31"/>
      <c r="H204" s="49">
        <f t="shared" si="11"/>
        <v>0</v>
      </c>
      <c r="I204" s="51"/>
      <c r="J204" s="51"/>
    </row>
    <row r="205" spans="1:14" s="19" customFormat="1" ht="16.5" customHeight="1" x14ac:dyDescent="0.3">
      <c r="B205" s="33" t="s">
        <v>186</v>
      </c>
      <c r="C205" s="34"/>
      <c r="D205" s="35"/>
      <c r="E205" s="36">
        <f t="shared" ref="E205:E258" si="12">SUM(C205:D205)</f>
        <v>0</v>
      </c>
      <c r="F205" s="37" t="s">
        <v>22</v>
      </c>
      <c r="G205" s="38">
        <v>397</v>
      </c>
      <c r="H205" s="39">
        <f t="shared" si="11"/>
        <v>0</v>
      </c>
      <c r="I205" s="51"/>
      <c r="J205" s="52"/>
      <c r="K205"/>
      <c r="L205" s="53"/>
      <c r="M205" s="54"/>
      <c r="N205" s="55"/>
    </row>
    <row r="206" spans="1:14" s="19" customFormat="1" ht="16.5" customHeight="1" x14ac:dyDescent="0.3">
      <c r="B206" s="33" t="s">
        <v>187</v>
      </c>
      <c r="C206" s="34"/>
      <c r="D206" s="35"/>
      <c r="E206" s="36">
        <f t="shared" si="12"/>
        <v>0</v>
      </c>
      <c r="F206" s="37" t="s">
        <v>22</v>
      </c>
      <c r="G206" s="38">
        <v>351</v>
      </c>
      <c r="H206" s="39">
        <f t="shared" si="11"/>
        <v>0</v>
      </c>
      <c r="I206" s="51"/>
      <c r="J206" s="52"/>
      <c r="K206"/>
      <c r="L206" s="53"/>
      <c r="M206" s="54"/>
      <c r="N206" s="55"/>
    </row>
    <row r="207" spans="1:14" s="19" customFormat="1" ht="16.5" customHeight="1" x14ac:dyDescent="0.3">
      <c r="B207" s="33" t="s">
        <v>188</v>
      </c>
      <c r="C207" s="34"/>
      <c r="D207" s="35"/>
      <c r="E207" s="36">
        <f t="shared" si="12"/>
        <v>0</v>
      </c>
      <c r="F207" s="37" t="s">
        <v>22</v>
      </c>
      <c r="G207" s="38">
        <v>518</v>
      </c>
      <c r="H207" s="39">
        <f t="shared" si="11"/>
        <v>0</v>
      </c>
      <c r="I207" s="51"/>
      <c r="J207" s="52"/>
      <c r="K207"/>
      <c r="L207" s="53"/>
      <c r="M207" s="54"/>
      <c r="N207" s="55"/>
    </row>
    <row r="208" spans="1:14" s="19" customFormat="1" ht="16.5" customHeight="1" x14ac:dyDescent="0.3">
      <c r="B208" s="33" t="s">
        <v>189</v>
      </c>
      <c r="C208" s="34"/>
      <c r="D208" s="35"/>
      <c r="E208" s="36">
        <f t="shared" si="12"/>
        <v>0</v>
      </c>
      <c r="F208" s="37" t="s">
        <v>22</v>
      </c>
      <c r="G208" s="38">
        <v>471</v>
      </c>
      <c r="H208" s="39">
        <f t="shared" si="11"/>
        <v>0</v>
      </c>
      <c r="I208" s="51"/>
      <c r="J208" s="52"/>
      <c r="K208"/>
      <c r="L208" s="53"/>
      <c r="M208" s="54"/>
      <c r="N208" s="55"/>
    </row>
    <row r="209" spans="1:17" s="19" customFormat="1" ht="16.5" customHeight="1" x14ac:dyDescent="0.3">
      <c r="B209" s="33" t="s">
        <v>190</v>
      </c>
      <c r="C209" s="34"/>
      <c r="D209" s="35"/>
      <c r="E209" s="36">
        <f t="shared" si="12"/>
        <v>0</v>
      </c>
      <c r="F209" s="37" t="s">
        <v>22</v>
      </c>
      <c r="G209" s="38">
        <v>633</v>
      </c>
      <c r="H209" s="39">
        <f t="shared" si="11"/>
        <v>0</v>
      </c>
      <c r="I209" s="51"/>
      <c r="J209" s="52"/>
      <c r="K209"/>
      <c r="L209" s="53"/>
      <c r="M209" s="54"/>
      <c r="N209" s="55"/>
    </row>
    <row r="210" spans="1:17" s="19" customFormat="1" ht="16.5" customHeight="1" x14ac:dyDescent="0.3">
      <c r="B210" s="33" t="s">
        <v>191</v>
      </c>
      <c r="C210" s="34"/>
      <c r="D210" s="35"/>
      <c r="E210" s="36">
        <f t="shared" si="12"/>
        <v>0</v>
      </c>
      <c r="F210" s="37" t="s">
        <v>22</v>
      </c>
      <c r="G210" s="38">
        <v>585</v>
      </c>
      <c r="H210" s="39">
        <f t="shared" si="11"/>
        <v>0</v>
      </c>
      <c r="I210" s="51"/>
      <c r="J210" s="52"/>
      <c r="K210"/>
      <c r="L210" s="53"/>
      <c r="M210" s="54"/>
      <c r="N210" s="55"/>
    </row>
    <row r="211" spans="1:17" ht="16.5" customHeight="1" x14ac:dyDescent="0.2">
      <c r="A211">
        <v>206</v>
      </c>
      <c r="B211" s="33" t="s">
        <v>21</v>
      </c>
      <c r="C211" s="34"/>
      <c r="D211" s="35"/>
      <c r="E211" s="36">
        <f t="shared" si="12"/>
        <v>0</v>
      </c>
      <c r="F211" s="50" t="s">
        <v>22</v>
      </c>
      <c r="G211" s="38">
        <v>406</v>
      </c>
      <c r="H211" s="39">
        <f t="shared" si="11"/>
        <v>0</v>
      </c>
      <c r="I211" s="51"/>
      <c r="J211" s="52"/>
      <c r="L211" s="53"/>
      <c r="M211" s="54"/>
      <c r="N211" s="55"/>
    </row>
    <row r="212" spans="1:17" ht="16.5" customHeight="1" x14ac:dyDescent="0.2">
      <c r="A212">
        <v>207</v>
      </c>
      <c r="B212" s="33" t="s">
        <v>23</v>
      </c>
      <c r="C212" s="34"/>
      <c r="D212" s="35"/>
      <c r="E212" s="36">
        <f t="shared" si="12"/>
        <v>0</v>
      </c>
      <c r="F212" s="50" t="s">
        <v>22</v>
      </c>
      <c r="G212" s="38">
        <v>341</v>
      </c>
      <c r="H212" s="39">
        <f t="shared" si="11"/>
        <v>0</v>
      </c>
      <c r="I212" s="51"/>
      <c r="J212" s="52"/>
      <c r="L212" s="53"/>
      <c r="M212" s="54"/>
      <c r="N212" s="55"/>
    </row>
    <row r="213" spans="1:17" ht="16.5" customHeight="1" x14ac:dyDescent="0.2">
      <c r="A213">
        <v>208</v>
      </c>
      <c r="B213" s="33" t="s">
        <v>24</v>
      </c>
      <c r="C213" s="34"/>
      <c r="D213" s="35"/>
      <c r="E213" s="36">
        <f t="shared" si="12"/>
        <v>0</v>
      </c>
      <c r="F213" s="50" t="s">
        <v>22</v>
      </c>
      <c r="G213" s="38">
        <v>205</v>
      </c>
      <c r="H213" s="39">
        <f t="shared" si="11"/>
        <v>0</v>
      </c>
      <c r="I213" s="51"/>
      <c r="J213" s="52"/>
      <c r="L213" s="53"/>
      <c r="M213" s="54"/>
      <c r="N213" s="55"/>
    </row>
    <row r="214" spans="1:17" ht="16.5" customHeight="1" x14ac:dyDescent="0.2">
      <c r="A214">
        <v>209</v>
      </c>
      <c r="B214" s="33" t="s">
        <v>25</v>
      </c>
      <c r="C214" s="34"/>
      <c r="D214" s="35"/>
      <c r="E214" s="36">
        <f t="shared" si="12"/>
        <v>0</v>
      </c>
      <c r="F214" s="50" t="s">
        <v>22</v>
      </c>
      <c r="G214" s="38">
        <v>160</v>
      </c>
      <c r="H214" s="39">
        <f t="shared" si="11"/>
        <v>0</v>
      </c>
      <c r="I214" s="51"/>
      <c r="J214" s="52"/>
      <c r="L214" s="53"/>
      <c r="M214" s="54"/>
      <c r="N214" s="55"/>
      <c r="O214" s="72"/>
      <c r="Q214" s="73"/>
    </row>
    <row r="215" spans="1:17" ht="16.5" customHeight="1" x14ac:dyDescent="0.2">
      <c r="A215">
        <v>210</v>
      </c>
      <c r="B215" s="33" t="s">
        <v>192</v>
      </c>
      <c r="C215" s="34"/>
      <c r="D215" s="35"/>
      <c r="E215" s="36">
        <f t="shared" si="12"/>
        <v>0</v>
      </c>
      <c r="F215" s="50" t="s">
        <v>22</v>
      </c>
      <c r="G215" s="38">
        <v>121</v>
      </c>
      <c r="H215" s="39">
        <f t="shared" si="11"/>
        <v>0</v>
      </c>
      <c r="I215" s="51"/>
      <c r="J215" s="52"/>
      <c r="L215" s="53"/>
      <c r="M215" s="54"/>
      <c r="N215" s="55"/>
      <c r="O215" s="72"/>
    </row>
    <row r="216" spans="1:17" ht="16.5" customHeight="1" x14ac:dyDescent="0.2">
      <c r="A216">
        <v>211</v>
      </c>
      <c r="B216" s="33" t="s">
        <v>26</v>
      </c>
      <c r="C216" s="34"/>
      <c r="D216" s="35"/>
      <c r="E216" s="36">
        <f t="shared" si="12"/>
        <v>0</v>
      </c>
      <c r="F216" s="50" t="s">
        <v>22</v>
      </c>
      <c r="G216" s="38">
        <v>101</v>
      </c>
      <c r="H216" s="39">
        <f t="shared" si="11"/>
        <v>0</v>
      </c>
      <c r="I216" s="51"/>
      <c r="J216" s="52"/>
      <c r="L216" s="53"/>
      <c r="M216" s="54"/>
      <c r="N216" s="55"/>
      <c r="O216" s="72"/>
    </row>
    <row r="217" spans="1:17" ht="16.5" customHeight="1" x14ac:dyDescent="0.2">
      <c r="A217">
        <v>212</v>
      </c>
      <c r="B217" s="33" t="s">
        <v>193</v>
      </c>
      <c r="C217" s="34"/>
      <c r="D217" s="35"/>
      <c r="E217" s="36">
        <f t="shared" si="12"/>
        <v>0</v>
      </c>
      <c r="F217" s="50" t="s">
        <v>22</v>
      </c>
      <c r="G217" s="38">
        <v>97</v>
      </c>
      <c r="H217" s="39">
        <f t="shared" si="11"/>
        <v>0</v>
      </c>
      <c r="I217" s="51"/>
      <c r="J217" s="52"/>
      <c r="L217" s="53"/>
      <c r="M217" s="54"/>
      <c r="N217" s="55"/>
    </row>
    <row r="218" spans="1:17" ht="16.5" customHeight="1" x14ac:dyDescent="0.2">
      <c r="A218">
        <v>213</v>
      </c>
      <c r="B218" s="33" t="s">
        <v>194</v>
      </c>
      <c r="C218" s="34"/>
      <c r="D218" s="35"/>
      <c r="E218" s="36">
        <f t="shared" si="12"/>
        <v>0</v>
      </c>
      <c r="F218" s="50" t="s">
        <v>22</v>
      </c>
      <c r="G218" s="38">
        <v>84</v>
      </c>
      <c r="H218" s="39">
        <f t="shared" si="11"/>
        <v>0</v>
      </c>
      <c r="I218" s="51"/>
      <c r="J218" s="52"/>
      <c r="L218" s="53"/>
      <c r="M218" s="54"/>
      <c r="N218" s="55"/>
    </row>
    <row r="219" spans="1:17" ht="16.5" customHeight="1" x14ac:dyDescent="0.2">
      <c r="A219">
        <v>214</v>
      </c>
      <c r="B219" s="33" t="s">
        <v>27</v>
      </c>
      <c r="C219" s="34"/>
      <c r="D219" s="35"/>
      <c r="E219" s="36">
        <f t="shared" si="12"/>
        <v>0</v>
      </c>
      <c r="F219" s="50" t="s">
        <v>28</v>
      </c>
      <c r="G219" s="38">
        <v>402</v>
      </c>
      <c r="H219" s="39">
        <f t="shared" si="11"/>
        <v>0</v>
      </c>
      <c r="I219" s="51"/>
      <c r="J219" s="52"/>
      <c r="L219" s="53"/>
      <c r="M219" s="54"/>
      <c r="N219" s="55"/>
    </row>
    <row r="220" spans="1:17" ht="16.5" customHeight="1" x14ac:dyDescent="0.2">
      <c r="A220">
        <v>215</v>
      </c>
      <c r="B220" s="33" t="s">
        <v>29</v>
      </c>
      <c r="C220" s="34"/>
      <c r="D220" s="35"/>
      <c r="E220" s="36">
        <f t="shared" si="12"/>
        <v>0</v>
      </c>
      <c r="F220" s="50" t="s">
        <v>28</v>
      </c>
      <c r="G220" s="38">
        <v>273</v>
      </c>
      <c r="H220" s="39">
        <f t="shared" si="11"/>
        <v>0</v>
      </c>
      <c r="I220" s="51"/>
      <c r="J220" s="52"/>
      <c r="L220" s="53"/>
      <c r="M220" s="54"/>
      <c r="N220" s="55"/>
    </row>
    <row r="221" spans="1:17" ht="16.5" customHeight="1" x14ac:dyDescent="0.2">
      <c r="A221">
        <v>216</v>
      </c>
      <c r="B221" s="33" t="s">
        <v>30</v>
      </c>
      <c r="C221" s="34"/>
      <c r="D221" s="35"/>
      <c r="E221" s="36">
        <f t="shared" si="12"/>
        <v>0</v>
      </c>
      <c r="F221" s="50" t="s">
        <v>28</v>
      </c>
      <c r="G221" s="38">
        <v>139</v>
      </c>
      <c r="H221" s="39">
        <f t="shared" si="11"/>
        <v>0</v>
      </c>
      <c r="I221" s="51"/>
      <c r="J221" s="52"/>
      <c r="L221" s="53"/>
      <c r="M221" s="54"/>
      <c r="N221" s="55"/>
    </row>
    <row r="222" spans="1:17" ht="16.5" customHeight="1" x14ac:dyDescent="0.2">
      <c r="A222">
        <v>217</v>
      </c>
      <c r="B222" s="33" t="s">
        <v>31</v>
      </c>
      <c r="C222" s="34"/>
      <c r="D222" s="35"/>
      <c r="E222" s="36">
        <f t="shared" si="12"/>
        <v>0</v>
      </c>
      <c r="F222" s="50" t="s">
        <v>28</v>
      </c>
      <c r="G222" s="38">
        <v>101</v>
      </c>
      <c r="H222" s="39">
        <f t="shared" si="11"/>
        <v>0</v>
      </c>
      <c r="I222" s="51"/>
      <c r="J222" s="52"/>
      <c r="L222" s="53"/>
      <c r="M222" s="54"/>
      <c r="N222" s="55"/>
    </row>
    <row r="223" spans="1:17" ht="16.5" customHeight="1" x14ac:dyDescent="0.2">
      <c r="A223">
        <v>218</v>
      </c>
      <c r="B223" s="33" t="s">
        <v>195</v>
      </c>
      <c r="C223" s="34"/>
      <c r="D223" s="35"/>
      <c r="E223" s="36">
        <f t="shared" si="12"/>
        <v>0</v>
      </c>
      <c r="F223" s="50" t="s">
        <v>28</v>
      </c>
      <c r="G223" s="38">
        <v>105</v>
      </c>
      <c r="H223" s="39">
        <f t="shared" si="11"/>
        <v>0</v>
      </c>
      <c r="I223" s="51"/>
      <c r="J223" s="52"/>
      <c r="L223" s="53"/>
      <c r="M223" s="54"/>
      <c r="N223" s="55"/>
    </row>
    <row r="224" spans="1:17" ht="16.5" customHeight="1" x14ac:dyDescent="0.2">
      <c r="A224">
        <v>219</v>
      </c>
      <c r="B224" s="33" t="s">
        <v>196</v>
      </c>
      <c r="C224" s="34"/>
      <c r="D224" s="35"/>
      <c r="E224" s="36">
        <f t="shared" si="12"/>
        <v>0</v>
      </c>
      <c r="F224" s="50" t="s">
        <v>28</v>
      </c>
      <c r="G224" s="38">
        <v>92</v>
      </c>
      <c r="H224" s="39">
        <f t="shared" si="11"/>
        <v>0</v>
      </c>
      <c r="I224" s="51"/>
      <c r="J224" s="52"/>
      <c r="L224" s="53"/>
      <c r="M224" s="54"/>
      <c r="N224" s="55"/>
    </row>
    <row r="225" spans="1:14" ht="16.5" customHeight="1" x14ac:dyDescent="0.2">
      <c r="A225">
        <v>220</v>
      </c>
      <c r="B225" s="33" t="s">
        <v>197</v>
      </c>
      <c r="C225" s="34"/>
      <c r="D225" s="35"/>
      <c r="E225" s="36">
        <f t="shared" si="12"/>
        <v>0</v>
      </c>
      <c r="F225" s="50" t="s">
        <v>28</v>
      </c>
      <c r="G225" s="38">
        <v>83</v>
      </c>
      <c r="H225" s="39">
        <f t="shared" si="11"/>
        <v>0</v>
      </c>
      <c r="I225" s="51"/>
      <c r="J225" s="52"/>
      <c r="L225" s="53"/>
      <c r="M225" s="54"/>
      <c r="N225" s="55"/>
    </row>
    <row r="226" spans="1:14" ht="16.5" customHeight="1" x14ac:dyDescent="0.2">
      <c r="A226">
        <v>221</v>
      </c>
      <c r="B226" s="33" t="s">
        <v>198</v>
      </c>
      <c r="C226" s="34"/>
      <c r="D226" s="35"/>
      <c r="E226" s="36">
        <f t="shared" si="12"/>
        <v>0</v>
      </c>
      <c r="F226" s="50" t="s">
        <v>28</v>
      </c>
      <c r="G226" s="38">
        <v>76</v>
      </c>
      <c r="H226" s="39">
        <f t="shared" si="11"/>
        <v>0</v>
      </c>
      <c r="I226" s="51"/>
      <c r="J226" s="52"/>
      <c r="L226" s="53"/>
      <c r="M226" s="54"/>
      <c r="N226" s="55"/>
    </row>
    <row r="227" spans="1:14" ht="16.5" customHeight="1" x14ac:dyDescent="0.2">
      <c r="A227">
        <v>222</v>
      </c>
      <c r="B227" s="33" t="s">
        <v>33</v>
      </c>
      <c r="C227" s="34"/>
      <c r="D227" s="35"/>
      <c r="E227" s="36">
        <f t="shared" si="12"/>
        <v>0</v>
      </c>
      <c r="F227" s="50" t="s">
        <v>28</v>
      </c>
      <c r="G227" s="38">
        <v>478</v>
      </c>
      <c r="H227" s="39">
        <f t="shared" si="11"/>
        <v>0</v>
      </c>
      <c r="I227" s="51"/>
      <c r="J227" s="52"/>
      <c r="L227" s="53"/>
      <c r="M227" s="54"/>
      <c r="N227" s="55"/>
    </row>
    <row r="228" spans="1:14" ht="16.5" customHeight="1" x14ac:dyDescent="0.2">
      <c r="A228">
        <v>223</v>
      </c>
      <c r="B228" s="33" t="s">
        <v>34</v>
      </c>
      <c r="C228" s="34"/>
      <c r="D228" s="35"/>
      <c r="E228" s="36">
        <f t="shared" si="12"/>
        <v>0</v>
      </c>
      <c r="F228" s="50" t="s">
        <v>28</v>
      </c>
      <c r="G228" s="38">
        <v>312</v>
      </c>
      <c r="H228" s="39">
        <f t="shared" si="11"/>
        <v>0</v>
      </c>
      <c r="I228" s="51"/>
      <c r="J228" s="52"/>
      <c r="L228" s="53"/>
      <c r="M228" s="54"/>
      <c r="N228" s="55"/>
    </row>
    <row r="229" spans="1:14" ht="16.5" customHeight="1" x14ac:dyDescent="0.2">
      <c r="A229">
        <v>224</v>
      </c>
      <c r="B229" s="33" t="s">
        <v>35</v>
      </c>
      <c r="C229" s="34"/>
      <c r="D229" s="35"/>
      <c r="E229" s="36">
        <f t="shared" si="12"/>
        <v>0</v>
      </c>
      <c r="F229" s="50" t="s">
        <v>28</v>
      </c>
      <c r="G229" s="38">
        <v>142</v>
      </c>
      <c r="H229" s="39">
        <f t="shared" si="11"/>
        <v>0</v>
      </c>
      <c r="I229" s="51"/>
      <c r="J229" s="52"/>
      <c r="L229" s="53"/>
      <c r="M229" s="54"/>
      <c r="N229" s="55"/>
    </row>
    <row r="230" spans="1:14" ht="16.5" customHeight="1" x14ac:dyDescent="0.2">
      <c r="A230">
        <v>225</v>
      </c>
      <c r="B230" s="33" t="s">
        <v>36</v>
      </c>
      <c r="C230" s="34"/>
      <c r="D230" s="35"/>
      <c r="E230" s="36">
        <f t="shared" si="12"/>
        <v>0</v>
      </c>
      <c r="F230" s="50" t="s">
        <v>28</v>
      </c>
      <c r="G230" s="38">
        <v>121</v>
      </c>
      <c r="H230" s="39">
        <f t="shared" si="11"/>
        <v>0</v>
      </c>
      <c r="I230" s="51"/>
      <c r="J230" s="52"/>
      <c r="L230" s="53"/>
      <c r="M230" s="54"/>
      <c r="N230" s="55"/>
    </row>
    <row r="231" spans="1:14" ht="16.5" customHeight="1" x14ac:dyDescent="0.2">
      <c r="A231">
        <v>226</v>
      </c>
      <c r="B231" s="33" t="s">
        <v>199</v>
      </c>
      <c r="C231" s="34"/>
      <c r="D231" s="35"/>
      <c r="E231" s="36">
        <f t="shared" si="12"/>
        <v>0</v>
      </c>
      <c r="F231" s="50" t="s">
        <v>28</v>
      </c>
      <c r="G231" s="38">
        <v>108</v>
      </c>
      <c r="H231" s="39">
        <f t="shared" si="11"/>
        <v>0</v>
      </c>
      <c r="I231" s="51"/>
      <c r="J231" s="52"/>
      <c r="L231" s="53"/>
      <c r="M231" s="54"/>
      <c r="N231" s="55"/>
    </row>
    <row r="232" spans="1:14" ht="16.5" customHeight="1" x14ac:dyDescent="0.2">
      <c r="A232">
        <v>227</v>
      </c>
      <c r="B232" s="33" t="s">
        <v>37</v>
      </c>
      <c r="C232" s="34"/>
      <c r="D232" s="35"/>
      <c r="E232" s="36">
        <f t="shared" si="12"/>
        <v>0</v>
      </c>
      <c r="F232" s="50" t="s">
        <v>28</v>
      </c>
      <c r="G232" s="38">
        <v>94</v>
      </c>
      <c r="H232" s="39">
        <f t="shared" si="11"/>
        <v>0</v>
      </c>
      <c r="I232" s="51"/>
      <c r="J232" s="52"/>
      <c r="L232" s="53"/>
      <c r="M232" s="54"/>
      <c r="N232" s="55"/>
    </row>
    <row r="233" spans="1:14" ht="16.5" customHeight="1" x14ac:dyDescent="0.2">
      <c r="A233">
        <v>228</v>
      </c>
      <c r="B233" s="33" t="s">
        <v>200</v>
      </c>
      <c r="C233" s="34"/>
      <c r="D233" s="35"/>
      <c r="E233" s="36">
        <f t="shared" si="12"/>
        <v>0</v>
      </c>
      <c r="F233" s="50" t="s">
        <v>28</v>
      </c>
      <c r="G233" s="38">
        <v>91</v>
      </c>
      <c r="H233" s="39">
        <f t="shared" si="11"/>
        <v>0</v>
      </c>
      <c r="I233" s="51"/>
      <c r="J233" s="52"/>
      <c r="L233" s="53"/>
      <c r="M233" s="54"/>
      <c r="N233" s="55"/>
    </row>
    <row r="234" spans="1:14" ht="16.5" customHeight="1" x14ac:dyDescent="0.2">
      <c r="A234">
        <v>229</v>
      </c>
      <c r="B234" s="33" t="s">
        <v>201</v>
      </c>
      <c r="C234" s="34"/>
      <c r="D234" s="35"/>
      <c r="E234" s="36">
        <f t="shared" si="12"/>
        <v>0</v>
      </c>
      <c r="F234" s="50" t="s">
        <v>28</v>
      </c>
      <c r="G234" s="38">
        <v>90</v>
      </c>
      <c r="H234" s="39">
        <f t="shared" si="11"/>
        <v>0</v>
      </c>
      <c r="I234" s="51"/>
      <c r="J234" s="52"/>
      <c r="L234" s="53"/>
      <c r="M234" s="54"/>
      <c r="N234" s="55"/>
    </row>
    <row r="235" spans="1:14" ht="16.5" customHeight="1" x14ac:dyDescent="0.2">
      <c r="A235">
        <v>230</v>
      </c>
      <c r="B235" s="33" t="s">
        <v>47</v>
      </c>
      <c r="C235" s="34"/>
      <c r="D235" s="35"/>
      <c r="E235" s="36">
        <f t="shared" si="12"/>
        <v>0</v>
      </c>
      <c r="F235" s="50" t="s">
        <v>28</v>
      </c>
      <c r="G235" s="38">
        <v>787</v>
      </c>
      <c r="H235" s="39">
        <f>E235*G235</f>
        <v>0</v>
      </c>
      <c r="I235" s="51"/>
      <c r="J235" s="52"/>
      <c r="L235" s="53"/>
      <c r="M235" s="54"/>
      <c r="N235" s="55"/>
    </row>
    <row r="236" spans="1:14" ht="16.5" customHeight="1" x14ac:dyDescent="0.2">
      <c r="A236">
        <v>230</v>
      </c>
      <c r="B236" s="33" t="s">
        <v>48</v>
      </c>
      <c r="C236" s="34"/>
      <c r="D236" s="35"/>
      <c r="E236" s="36">
        <f t="shared" si="12"/>
        <v>0</v>
      </c>
      <c r="F236" s="50" t="s">
        <v>28</v>
      </c>
      <c r="G236" s="38">
        <v>238</v>
      </c>
      <c r="H236" s="39">
        <f>E236*G236</f>
        <v>0</v>
      </c>
      <c r="I236" s="51"/>
      <c r="J236" s="52"/>
      <c r="L236" s="53"/>
      <c r="M236" s="54"/>
      <c r="N236" s="55"/>
    </row>
    <row r="237" spans="1:14" ht="16.5" customHeight="1" x14ac:dyDescent="0.2">
      <c r="A237">
        <v>230</v>
      </c>
      <c r="B237" s="33" t="s">
        <v>49</v>
      </c>
      <c r="C237" s="34"/>
      <c r="D237" s="35"/>
      <c r="E237" s="36">
        <f t="shared" si="12"/>
        <v>0</v>
      </c>
      <c r="F237" s="50" t="s">
        <v>28</v>
      </c>
      <c r="G237" s="38">
        <v>144</v>
      </c>
      <c r="H237" s="39">
        <f>E237*G237</f>
        <v>0</v>
      </c>
      <c r="I237" s="51"/>
      <c r="J237" s="52"/>
      <c r="L237" s="53"/>
      <c r="M237" s="54"/>
      <c r="N237" s="55"/>
    </row>
    <row r="238" spans="1:14" ht="16.5" customHeight="1" x14ac:dyDescent="0.2">
      <c r="A238">
        <v>230</v>
      </c>
      <c r="B238" s="33" t="s">
        <v>50</v>
      </c>
      <c r="C238" s="34"/>
      <c r="D238" s="35"/>
      <c r="E238" s="36">
        <f t="shared" si="12"/>
        <v>0</v>
      </c>
      <c r="F238" s="50" t="s">
        <v>28</v>
      </c>
      <c r="G238" s="38">
        <v>390</v>
      </c>
      <c r="H238" s="39">
        <f t="shared" si="11"/>
        <v>0</v>
      </c>
      <c r="I238" s="51"/>
      <c r="J238" s="52"/>
      <c r="L238" s="53"/>
      <c r="M238" s="54"/>
      <c r="N238" s="55"/>
    </row>
    <row r="239" spans="1:14" ht="16.5" customHeight="1" x14ac:dyDescent="0.2">
      <c r="A239">
        <v>231</v>
      </c>
      <c r="B239" s="33" t="s">
        <v>51</v>
      </c>
      <c r="C239" s="34"/>
      <c r="D239" s="35"/>
      <c r="E239" s="36">
        <f t="shared" si="12"/>
        <v>0</v>
      </c>
      <c r="F239" s="50" t="s">
        <v>28</v>
      </c>
      <c r="G239" s="38">
        <v>658</v>
      </c>
      <c r="H239" s="39">
        <f t="shared" si="11"/>
        <v>0</v>
      </c>
      <c r="I239" s="51"/>
      <c r="J239" s="52"/>
      <c r="L239" s="53"/>
      <c r="M239" s="54"/>
      <c r="N239" s="55"/>
    </row>
    <row r="240" spans="1:14" ht="16.5" customHeight="1" x14ac:dyDescent="0.2">
      <c r="A240">
        <v>232</v>
      </c>
      <c r="B240" s="33" t="s">
        <v>178</v>
      </c>
      <c r="C240" s="34"/>
      <c r="D240" s="35"/>
      <c r="E240" s="36">
        <f t="shared" si="12"/>
        <v>0</v>
      </c>
      <c r="F240" s="50" t="s">
        <v>28</v>
      </c>
      <c r="G240" s="38">
        <v>1038</v>
      </c>
      <c r="H240" s="39">
        <f>E240*G240</f>
        <v>0</v>
      </c>
      <c r="I240" s="51"/>
      <c r="J240" s="52"/>
      <c r="L240" s="53"/>
      <c r="M240" s="54"/>
      <c r="N240" s="55"/>
    </row>
    <row r="241" spans="1:14" ht="16.5" customHeight="1" x14ac:dyDescent="0.2">
      <c r="A241">
        <v>232</v>
      </c>
      <c r="B241" s="33" t="s">
        <v>52</v>
      </c>
      <c r="C241" s="34"/>
      <c r="D241" s="35"/>
      <c r="E241" s="36">
        <f t="shared" si="12"/>
        <v>0</v>
      </c>
      <c r="F241" s="50" t="s">
        <v>28</v>
      </c>
      <c r="G241" s="38">
        <v>624</v>
      </c>
      <c r="H241" s="39">
        <f t="shared" si="11"/>
        <v>0</v>
      </c>
      <c r="I241" s="51"/>
      <c r="J241" s="52"/>
      <c r="L241" s="53"/>
      <c r="M241" s="54"/>
      <c r="N241" s="55"/>
    </row>
    <row r="242" spans="1:14" ht="16.5" customHeight="1" x14ac:dyDescent="0.2">
      <c r="A242">
        <v>233</v>
      </c>
      <c r="B242" s="57" t="s">
        <v>53</v>
      </c>
      <c r="C242" s="34"/>
      <c r="D242" s="35"/>
      <c r="E242" s="36">
        <f t="shared" si="12"/>
        <v>0</v>
      </c>
      <c r="F242" s="50" t="s">
        <v>28</v>
      </c>
      <c r="G242" s="38">
        <v>553</v>
      </c>
      <c r="H242" s="39">
        <f t="shared" si="11"/>
        <v>0</v>
      </c>
      <c r="I242" s="51"/>
      <c r="J242" s="52"/>
      <c r="L242" s="53"/>
      <c r="M242" s="54"/>
      <c r="N242" s="55"/>
    </row>
    <row r="243" spans="1:14" ht="16.5" customHeight="1" x14ac:dyDescent="0.2">
      <c r="A243">
        <v>234</v>
      </c>
      <c r="B243" s="57" t="s">
        <v>54</v>
      </c>
      <c r="C243" s="34"/>
      <c r="D243" s="35"/>
      <c r="E243" s="36">
        <f t="shared" si="12"/>
        <v>0</v>
      </c>
      <c r="F243" s="50" t="s">
        <v>28</v>
      </c>
      <c r="G243" s="38">
        <v>520</v>
      </c>
      <c r="H243" s="39">
        <f t="shared" si="11"/>
        <v>0</v>
      </c>
      <c r="I243" s="51"/>
      <c r="J243" s="52"/>
      <c r="L243" s="53"/>
      <c r="M243" s="54"/>
      <c r="N243" s="55"/>
    </row>
    <row r="244" spans="1:14" ht="16.5" customHeight="1" x14ac:dyDescent="0.2">
      <c r="A244">
        <v>235</v>
      </c>
      <c r="B244" s="57" t="s">
        <v>55</v>
      </c>
      <c r="C244" s="34"/>
      <c r="D244" s="35"/>
      <c r="E244" s="36">
        <f t="shared" si="12"/>
        <v>0</v>
      </c>
      <c r="F244" s="50" t="s">
        <v>28</v>
      </c>
      <c r="G244" s="38">
        <v>505</v>
      </c>
      <c r="H244" s="39">
        <f t="shared" si="11"/>
        <v>0</v>
      </c>
      <c r="I244" s="51"/>
      <c r="J244" s="52"/>
      <c r="L244" s="53"/>
      <c r="M244" s="54"/>
      <c r="N244" s="55"/>
    </row>
    <row r="245" spans="1:14" ht="16.5" customHeight="1" x14ac:dyDescent="0.2">
      <c r="A245">
        <v>236</v>
      </c>
      <c r="B245" s="57" t="s">
        <v>56</v>
      </c>
      <c r="C245" s="34"/>
      <c r="D245" s="35"/>
      <c r="E245" s="36">
        <f t="shared" si="12"/>
        <v>0</v>
      </c>
      <c r="F245" s="50" t="s">
        <v>28</v>
      </c>
      <c r="G245" s="38">
        <v>499</v>
      </c>
      <c r="H245" s="39">
        <f t="shared" si="11"/>
        <v>0</v>
      </c>
      <c r="I245" s="51"/>
      <c r="J245" s="52"/>
      <c r="L245" s="53"/>
      <c r="M245" s="54"/>
      <c r="N245" s="55"/>
    </row>
    <row r="246" spans="1:14" ht="16.5" customHeight="1" x14ac:dyDescent="0.2">
      <c r="A246">
        <v>237</v>
      </c>
      <c r="B246" s="57" t="s">
        <v>57</v>
      </c>
      <c r="C246" s="34"/>
      <c r="D246" s="35"/>
      <c r="E246" s="36">
        <f t="shared" si="12"/>
        <v>0</v>
      </c>
      <c r="F246" s="50" t="s">
        <v>28</v>
      </c>
      <c r="G246" s="38">
        <v>674</v>
      </c>
      <c r="H246" s="39">
        <f t="shared" si="11"/>
        <v>0</v>
      </c>
      <c r="I246" s="51"/>
      <c r="J246" s="52"/>
      <c r="L246" s="53"/>
      <c r="M246" s="54"/>
      <c r="N246" s="55"/>
    </row>
    <row r="247" spans="1:14" ht="16.5" customHeight="1" x14ac:dyDescent="0.2">
      <c r="A247">
        <v>238</v>
      </c>
      <c r="B247" s="57" t="s">
        <v>58</v>
      </c>
      <c r="C247" s="34"/>
      <c r="D247" s="35"/>
      <c r="E247" s="36">
        <f t="shared" si="12"/>
        <v>0</v>
      </c>
      <c r="F247" s="50" t="s">
        <v>28</v>
      </c>
      <c r="G247" s="38">
        <v>568</v>
      </c>
      <c r="H247" s="39">
        <f t="shared" si="11"/>
        <v>0</v>
      </c>
      <c r="I247" s="51"/>
      <c r="J247" s="52"/>
      <c r="L247" s="53"/>
      <c r="M247" s="54"/>
      <c r="N247" s="55"/>
    </row>
    <row r="248" spans="1:14" ht="16.5" customHeight="1" x14ac:dyDescent="0.2">
      <c r="A248">
        <v>239</v>
      </c>
      <c r="B248" s="57" t="s">
        <v>59</v>
      </c>
      <c r="C248" s="34"/>
      <c r="D248" s="35"/>
      <c r="E248" s="36">
        <f t="shared" si="12"/>
        <v>0</v>
      </c>
      <c r="F248" s="50" t="s">
        <v>28</v>
      </c>
      <c r="G248" s="38">
        <v>507</v>
      </c>
      <c r="H248" s="39">
        <f t="shared" si="11"/>
        <v>0</v>
      </c>
      <c r="I248" s="51"/>
      <c r="J248" s="52"/>
      <c r="L248" s="53"/>
      <c r="M248" s="54"/>
      <c r="N248" s="55"/>
    </row>
    <row r="249" spans="1:14" ht="16.5" customHeight="1" x14ac:dyDescent="0.2">
      <c r="A249">
        <v>240</v>
      </c>
      <c r="B249" s="57" t="s">
        <v>60</v>
      </c>
      <c r="C249" s="34"/>
      <c r="D249" s="35"/>
      <c r="E249" s="36">
        <f t="shared" si="12"/>
        <v>0</v>
      </c>
      <c r="F249" s="50" t="s">
        <v>28</v>
      </c>
      <c r="G249" s="38">
        <v>324</v>
      </c>
      <c r="H249" s="39">
        <f t="shared" si="11"/>
        <v>0</v>
      </c>
      <c r="I249" s="51"/>
      <c r="J249" s="52"/>
      <c r="L249" s="53"/>
      <c r="M249" s="54"/>
      <c r="N249" s="55"/>
    </row>
    <row r="250" spans="1:14" ht="16.5" customHeight="1" x14ac:dyDescent="0.2">
      <c r="A250">
        <v>241</v>
      </c>
      <c r="B250" s="57" t="s">
        <v>61</v>
      </c>
      <c r="C250" s="34"/>
      <c r="D250" s="35"/>
      <c r="E250" s="36">
        <f t="shared" si="12"/>
        <v>0</v>
      </c>
      <c r="F250" s="50" t="s">
        <v>28</v>
      </c>
      <c r="G250" s="38">
        <v>595</v>
      </c>
      <c r="H250" s="39">
        <f t="shared" si="11"/>
        <v>0</v>
      </c>
      <c r="I250" s="51"/>
      <c r="J250" s="52"/>
      <c r="L250" s="53"/>
      <c r="M250" s="54"/>
      <c r="N250" s="55"/>
    </row>
    <row r="251" spans="1:14" ht="16.5" customHeight="1" x14ac:dyDescent="0.2">
      <c r="A251">
        <v>242</v>
      </c>
      <c r="B251" s="57" t="s">
        <v>163</v>
      </c>
      <c r="C251" s="34"/>
      <c r="D251" s="35"/>
      <c r="E251" s="36">
        <f t="shared" si="12"/>
        <v>0</v>
      </c>
      <c r="F251" s="50" t="s">
        <v>28</v>
      </c>
      <c r="G251" s="38">
        <v>518</v>
      </c>
      <c r="H251" s="39">
        <f t="shared" si="11"/>
        <v>0</v>
      </c>
      <c r="I251" s="51"/>
      <c r="J251" s="52"/>
      <c r="L251" s="53"/>
      <c r="M251" s="54"/>
      <c r="N251" s="55"/>
    </row>
    <row r="252" spans="1:14" ht="16.5" customHeight="1" x14ac:dyDescent="0.2">
      <c r="A252">
        <v>243</v>
      </c>
      <c r="B252" s="57" t="s">
        <v>164</v>
      </c>
      <c r="C252" s="34"/>
      <c r="D252" s="35"/>
      <c r="E252" s="36">
        <f t="shared" si="12"/>
        <v>0</v>
      </c>
      <c r="F252" s="50" t="s">
        <v>28</v>
      </c>
      <c r="G252" s="38">
        <v>368</v>
      </c>
      <c r="H252" s="39">
        <f t="shared" si="11"/>
        <v>0</v>
      </c>
      <c r="I252" s="51"/>
      <c r="J252" s="52"/>
      <c r="L252" s="53"/>
      <c r="M252" s="54"/>
      <c r="N252" s="55"/>
    </row>
    <row r="253" spans="1:14" ht="16.5" customHeight="1" x14ac:dyDescent="0.2">
      <c r="A253">
        <v>203</v>
      </c>
      <c r="B253" s="33" t="s">
        <v>181</v>
      </c>
      <c r="C253" s="34"/>
      <c r="D253" s="35"/>
      <c r="E253" s="36">
        <f t="shared" si="12"/>
        <v>0</v>
      </c>
      <c r="F253" s="50" t="s">
        <v>28</v>
      </c>
      <c r="G253" s="38">
        <v>222</v>
      </c>
      <c r="H253" s="39">
        <f>E253*G253</f>
        <v>0</v>
      </c>
      <c r="I253" s="51"/>
      <c r="J253" s="52"/>
      <c r="L253" s="53"/>
      <c r="M253" s="54"/>
      <c r="N253" s="55"/>
    </row>
    <row r="254" spans="1:14" ht="16.5" customHeight="1" x14ac:dyDescent="0.2">
      <c r="A254">
        <v>203</v>
      </c>
      <c r="B254" s="33" t="s">
        <v>182</v>
      </c>
      <c r="C254" s="34"/>
      <c r="D254" s="35"/>
      <c r="E254" s="36">
        <f t="shared" si="12"/>
        <v>0</v>
      </c>
      <c r="F254" s="50" t="s">
        <v>28</v>
      </c>
      <c r="G254" s="38">
        <v>478</v>
      </c>
      <c r="H254" s="39">
        <f>E254*G254</f>
        <v>0</v>
      </c>
      <c r="I254" s="51"/>
      <c r="J254" s="52"/>
      <c r="L254" s="53"/>
      <c r="M254" s="54"/>
      <c r="N254" s="55"/>
    </row>
    <row r="255" spans="1:14" ht="16.5" customHeight="1" x14ac:dyDescent="0.2">
      <c r="A255">
        <v>203</v>
      </c>
      <c r="B255" s="33" t="s">
        <v>202</v>
      </c>
      <c r="C255" s="34"/>
      <c r="D255" s="35"/>
      <c r="E255" s="36">
        <f t="shared" si="12"/>
        <v>0</v>
      </c>
      <c r="F255" s="50" t="s">
        <v>28</v>
      </c>
      <c r="G255" s="38">
        <v>243</v>
      </c>
      <c r="H255" s="39">
        <f>E255*G255</f>
        <v>0</v>
      </c>
      <c r="I255" s="51"/>
      <c r="J255" s="52"/>
      <c r="L255" s="53"/>
      <c r="M255" s="54"/>
      <c r="N255" s="55"/>
    </row>
    <row r="256" spans="1:14" ht="16.5" customHeight="1" x14ac:dyDescent="0.2">
      <c r="A256">
        <v>203</v>
      </c>
      <c r="B256" s="33" t="s">
        <v>184</v>
      </c>
      <c r="C256" s="34"/>
      <c r="D256" s="35"/>
      <c r="E256" s="36">
        <f t="shared" si="12"/>
        <v>0</v>
      </c>
      <c r="F256" s="50" t="s">
        <v>28</v>
      </c>
      <c r="G256" s="38">
        <v>183</v>
      </c>
      <c r="H256" s="39">
        <f>E256*G256</f>
        <v>0</v>
      </c>
      <c r="I256" s="51"/>
      <c r="J256" s="52"/>
      <c r="L256" s="53"/>
      <c r="M256" s="54"/>
      <c r="N256" s="55"/>
    </row>
    <row r="257" spans="1:14" ht="16.5" customHeight="1" x14ac:dyDescent="0.2">
      <c r="A257">
        <v>244</v>
      </c>
      <c r="B257" s="33" t="s">
        <v>64</v>
      </c>
      <c r="C257" s="34"/>
      <c r="D257" s="35"/>
      <c r="E257" s="36">
        <f t="shared" si="12"/>
        <v>0</v>
      </c>
      <c r="F257" s="50" t="s">
        <v>28</v>
      </c>
      <c r="G257" s="38">
        <v>69</v>
      </c>
      <c r="H257" s="39">
        <f t="shared" si="11"/>
        <v>0</v>
      </c>
      <c r="I257" s="51"/>
      <c r="J257" s="52"/>
      <c r="L257" s="53"/>
      <c r="M257" s="54"/>
      <c r="N257" s="55"/>
    </row>
    <row r="258" spans="1:14" ht="17.25" customHeight="1" x14ac:dyDescent="0.2">
      <c r="A258">
        <v>245</v>
      </c>
      <c r="B258" s="33" t="s">
        <v>65</v>
      </c>
      <c r="C258" s="34"/>
      <c r="D258" s="35"/>
      <c r="E258" s="36">
        <f t="shared" si="12"/>
        <v>0</v>
      </c>
      <c r="F258" s="50" t="s">
        <v>28</v>
      </c>
      <c r="G258" s="38">
        <v>55</v>
      </c>
      <c r="H258" s="39">
        <f t="shared" si="11"/>
        <v>0</v>
      </c>
      <c r="I258" s="51"/>
      <c r="J258" s="52"/>
      <c r="L258" s="53"/>
      <c r="M258" s="54"/>
      <c r="N258" s="55"/>
    </row>
    <row r="259" spans="1:14" ht="16.5" customHeight="1" x14ac:dyDescent="0.2">
      <c r="A259">
        <v>246</v>
      </c>
      <c r="B259" s="74"/>
      <c r="C259" s="75"/>
      <c r="D259" s="76"/>
      <c r="E259" s="36"/>
      <c r="F259" s="77"/>
      <c r="G259" s="78"/>
      <c r="H259" s="39">
        <f t="shared" si="11"/>
        <v>0</v>
      </c>
      <c r="I259" s="51"/>
      <c r="J259" s="51"/>
    </row>
    <row r="260" spans="1:14" s="19" customFormat="1" ht="33.75" customHeight="1" x14ac:dyDescent="0.3">
      <c r="A260" s="19">
        <v>247</v>
      </c>
      <c r="B260" s="79" t="s">
        <v>203</v>
      </c>
      <c r="C260" s="80"/>
      <c r="D260" s="81"/>
      <c r="E260" s="48"/>
      <c r="F260" s="82"/>
      <c r="G260" s="83"/>
      <c r="H260" s="49">
        <f t="shared" si="11"/>
        <v>0</v>
      </c>
      <c r="I260" s="51"/>
      <c r="J260" s="51"/>
    </row>
    <row r="261" spans="1:14" s="2" customFormat="1" ht="15.75" customHeight="1" x14ac:dyDescent="0.25">
      <c r="A261">
        <v>248</v>
      </c>
      <c r="B261" s="84" t="s">
        <v>204</v>
      </c>
      <c r="C261" s="34"/>
      <c r="D261" s="35"/>
      <c r="E261" s="36">
        <f t="shared" ref="E261:E314" si="13">SUM(C261:D261)</f>
        <v>0</v>
      </c>
      <c r="F261" s="37" t="s">
        <v>22</v>
      </c>
      <c r="G261" s="38">
        <v>670</v>
      </c>
      <c r="H261" s="39">
        <f>E261*G261</f>
        <v>0</v>
      </c>
      <c r="I261" s="51"/>
      <c r="J261" s="52"/>
      <c r="K261"/>
      <c r="L261" s="53"/>
      <c r="M261" s="54"/>
    </row>
    <row r="262" spans="1:14" s="2" customFormat="1" ht="15.75" customHeight="1" x14ac:dyDescent="0.25">
      <c r="A262">
        <v>248</v>
      </c>
      <c r="B262" s="84" t="s">
        <v>205</v>
      </c>
      <c r="C262" s="34"/>
      <c r="D262" s="35"/>
      <c r="E262" s="36">
        <f t="shared" si="13"/>
        <v>0</v>
      </c>
      <c r="F262" s="37" t="s">
        <v>22</v>
      </c>
      <c r="G262" s="38">
        <v>549</v>
      </c>
      <c r="H262" s="39">
        <f t="shared" si="11"/>
        <v>0</v>
      </c>
      <c r="I262" s="51"/>
      <c r="J262" s="52"/>
      <c r="K262"/>
      <c r="L262" s="53"/>
      <c r="M262" s="54"/>
    </row>
    <row r="263" spans="1:14" ht="15.75" customHeight="1" x14ac:dyDescent="0.2">
      <c r="A263">
        <v>249</v>
      </c>
      <c r="B263" s="33" t="s">
        <v>206</v>
      </c>
      <c r="C263" s="34"/>
      <c r="D263" s="35"/>
      <c r="E263" s="36">
        <f t="shared" si="13"/>
        <v>0</v>
      </c>
      <c r="F263" s="50" t="s">
        <v>22</v>
      </c>
      <c r="G263" s="38">
        <v>403</v>
      </c>
      <c r="H263" s="39">
        <f t="shared" si="11"/>
        <v>0</v>
      </c>
      <c r="I263" s="51"/>
      <c r="J263" s="52"/>
      <c r="L263" s="53"/>
      <c r="M263" s="54"/>
    </row>
    <row r="264" spans="1:14" ht="15.75" customHeight="1" x14ac:dyDescent="0.2">
      <c r="A264">
        <v>250</v>
      </c>
      <c r="B264" s="33" t="s">
        <v>207</v>
      </c>
      <c r="C264" s="34"/>
      <c r="D264" s="35"/>
      <c r="E264" s="36">
        <f t="shared" si="13"/>
        <v>0</v>
      </c>
      <c r="F264" s="50" t="s">
        <v>22</v>
      </c>
      <c r="G264" s="38">
        <v>336</v>
      </c>
      <c r="H264" s="39">
        <f t="shared" si="11"/>
        <v>0</v>
      </c>
      <c r="I264" s="51"/>
      <c r="J264" s="52"/>
      <c r="L264" s="53"/>
      <c r="M264" s="54"/>
    </row>
    <row r="265" spans="1:14" ht="15.75" customHeight="1" x14ac:dyDescent="0.2">
      <c r="A265">
        <v>251</v>
      </c>
      <c r="B265" s="33" t="s">
        <v>208</v>
      </c>
      <c r="C265" s="34"/>
      <c r="D265" s="35"/>
      <c r="E265" s="36">
        <f t="shared" si="13"/>
        <v>0</v>
      </c>
      <c r="F265" s="50" t="s">
        <v>22</v>
      </c>
      <c r="G265" s="38">
        <v>245</v>
      </c>
      <c r="H265" s="39">
        <f t="shared" si="11"/>
        <v>0</v>
      </c>
      <c r="I265" s="51"/>
      <c r="J265" s="52"/>
      <c r="L265" s="53"/>
      <c r="M265" s="54"/>
    </row>
    <row r="266" spans="1:14" ht="15.75" customHeight="1" x14ac:dyDescent="0.2">
      <c r="A266">
        <v>252</v>
      </c>
      <c r="B266" s="33" t="s">
        <v>209</v>
      </c>
      <c r="C266" s="34"/>
      <c r="D266" s="35"/>
      <c r="E266" s="36">
        <f t="shared" si="13"/>
        <v>0</v>
      </c>
      <c r="F266" s="50" t="s">
        <v>22</v>
      </c>
      <c r="G266" s="38">
        <v>220</v>
      </c>
      <c r="H266" s="39">
        <f t="shared" si="11"/>
        <v>0</v>
      </c>
      <c r="I266" s="51"/>
      <c r="J266" s="52"/>
      <c r="L266" s="53"/>
      <c r="M266" s="54"/>
    </row>
    <row r="267" spans="1:14" ht="15.75" customHeight="1" x14ac:dyDescent="0.2">
      <c r="A267">
        <v>253</v>
      </c>
      <c r="B267" s="33" t="s">
        <v>210</v>
      </c>
      <c r="C267" s="34"/>
      <c r="D267" s="35"/>
      <c r="E267" s="36">
        <f t="shared" si="13"/>
        <v>0</v>
      </c>
      <c r="F267" s="50" t="s">
        <v>22</v>
      </c>
      <c r="G267" s="38">
        <v>162</v>
      </c>
      <c r="H267" s="39">
        <f t="shared" si="11"/>
        <v>0</v>
      </c>
      <c r="I267" s="51"/>
      <c r="J267" s="52"/>
      <c r="L267" s="53"/>
      <c r="M267" s="54"/>
    </row>
    <row r="268" spans="1:14" ht="15.75" customHeight="1" x14ac:dyDescent="0.2">
      <c r="A268">
        <v>254</v>
      </c>
      <c r="B268" s="33" t="s">
        <v>211</v>
      </c>
      <c r="C268" s="34"/>
      <c r="D268" s="35"/>
      <c r="E268" s="36">
        <f t="shared" si="13"/>
        <v>0</v>
      </c>
      <c r="F268" s="50" t="s">
        <v>22</v>
      </c>
      <c r="G268" s="38">
        <v>140</v>
      </c>
      <c r="H268" s="39">
        <f t="shared" si="11"/>
        <v>0</v>
      </c>
      <c r="I268" s="51"/>
      <c r="J268" s="52"/>
      <c r="L268" s="53"/>
      <c r="M268" s="54"/>
    </row>
    <row r="269" spans="1:14" ht="15.75" customHeight="1" x14ac:dyDescent="0.2">
      <c r="A269">
        <v>255</v>
      </c>
      <c r="B269" s="33" t="s">
        <v>212</v>
      </c>
      <c r="C269" s="34"/>
      <c r="D269" s="35"/>
      <c r="E269" s="36">
        <f t="shared" si="13"/>
        <v>0</v>
      </c>
      <c r="F269" s="50" t="s">
        <v>22</v>
      </c>
      <c r="G269" s="38">
        <v>127</v>
      </c>
      <c r="H269" s="39">
        <f t="shared" si="11"/>
        <v>0</v>
      </c>
      <c r="I269" s="51"/>
      <c r="J269" s="52"/>
      <c r="L269" s="53"/>
      <c r="M269" s="54"/>
    </row>
    <row r="270" spans="1:14" ht="15.75" customHeight="1" x14ac:dyDescent="0.2">
      <c r="A270">
        <v>256</v>
      </c>
      <c r="B270" s="33" t="s">
        <v>213</v>
      </c>
      <c r="C270" s="34"/>
      <c r="D270" s="35"/>
      <c r="E270" s="36">
        <f t="shared" si="13"/>
        <v>0</v>
      </c>
      <c r="F270" s="50" t="s">
        <v>22</v>
      </c>
      <c r="G270" s="38">
        <v>79</v>
      </c>
      <c r="H270" s="39">
        <f t="shared" si="11"/>
        <v>0</v>
      </c>
      <c r="I270" s="51"/>
      <c r="J270" s="52"/>
      <c r="L270" s="53"/>
      <c r="M270" s="54"/>
    </row>
    <row r="271" spans="1:14" ht="15.75" customHeight="1" x14ac:dyDescent="0.2">
      <c r="A271">
        <v>257</v>
      </c>
      <c r="B271" s="33" t="s">
        <v>214</v>
      </c>
      <c r="C271" s="34"/>
      <c r="D271" s="35"/>
      <c r="E271" s="36">
        <f t="shared" si="13"/>
        <v>0</v>
      </c>
      <c r="F271" s="50" t="s">
        <v>22</v>
      </c>
      <c r="G271" s="38">
        <v>67</v>
      </c>
      <c r="H271" s="39">
        <f t="shared" si="11"/>
        <v>0</v>
      </c>
      <c r="I271" s="51"/>
      <c r="J271" s="52"/>
      <c r="L271" s="53"/>
      <c r="M271" s="54"/>
    </row>
    <row r="272" spans="1:14" s="2" customFormat="1" ht="15.75" customHeight="1" x14ac:dyDescent="0.25">
      <c r="A272">
        <v>258</v>
      </c>
      <c r="B272" s="84" t="s">
        <v>215</v>
      </c>
      <c r="C272" s="34"/>
      <c r="D272" s="35"/>
      <c r="E272" s="36">
        <f t="shared" si="13"/>
        <v>0</v>
      </c>
      <c r="F272" s="37" t="s">
        <v>28</v>
      </c>
      <c r="G272" s="38">
        <v>567</v>
      </c>
      <c r="H272" s="39">
        <f>E272*G272</f>
        <v>0</v>
      </c>
      <c r="I272" s="51"/>
      <c r="J272" s="52"/>
      <c r="K272"/>
      <c r="L272" s="53"/>
      <c r="M272" s="54"/>
    </row>
    <row r="273" spans="1:13" s="2" customFormat="1" ht="15.75" customHeight="1" x14ac:dyDescent="0.25">
      <c r="A273">
        <v>258</v>
      </c>
      <c r="B273" s="84" t="s">
        <v>216</v>
      </c>
      <c r="C273" s="34"/>
      <c r="D273" s="35"/>
      <c r="E273" s="36">
        <f t="shared" si="13"/>
        <v>0</v>
      </c>
      <c r="F273" s="37" t="s">
        <v>28</v>
      </c>
      <c r="G273" s="38">
        <v>420</v>
      </c>
      <c r="H273" s="39">
        <f t="shared" si="11"/>
        <v>0</v>
      </c>
      <c r="I273" s="51"/>
      <c r="J273" s="52"/>
      <c r="K273"/>
      <c r="L273" s="53"/>
      <c r="M273" s="54"/>
    </row>
    <row r="274" spans="1:13" ht="15.75" customHeight="1" x14ac:dyDescent="0.2">
      <c r="A274">
        <v>259</v>
      </c>
      <c r="B274" s="33" t="s">
        <v>217</v>
      </c>
      <c r="C274" s="34"/>
      <c r="D274" s="35"/>
      <c r="E274" s="36">
        <f t="shared" si="13"/>
        <v>0</v>
      </c>
      <c r="F274" s="50" t="s">
        <v>28</v>
      </c>
      <c r="G274" s="38">
        <v>233</v>
      </c>
      <c r="H274" s="39">
        <f t="shared" si="11"/>
        <v>0</v>
      </c>
      <c r="I274" s="51"/>
      <c r="J274" s="52"/>
      <c r="L274" s="53"/>
      <c r="M274" s="54"/>
    </row>
    <row r="275" spans="1:13" ht="15.75" customHeight="1" x14ac:dyDescent="0.2">
      <c r="A275">
        <v>260</v>
      </c>
      <c r="B275" s="33" t="s">
        <v>218</v>
      </c>
      <c r="C275" s="34"/>
      <c r="D275" s="35"/>
      <c r="E275" s="36">
        <f t="shared" si="13"/>
        <v>0</v>
      </c>
      <c r="F275" s="50" t="s">
        <v>28</v>
      </c>
      <c r="G275" s="38">
        <v>168</v>
      </c>
      <c r="H275" s="39">
        <f t="shared" si="11"/>
        <v>0</v>
      </c>
      <c r="I275" s="51"/>
      <c r="J275" s="52"/>
      <c r="L275" s="53"/>
      <c r="M275" s="54"/>
    </row>
    <row r="276" spans="1:13" ht="15.75" customHeight="1" x14ac:dyDescent="0.2">
      <c r="A276">
        <v>261</v>
      </c>
      <c r="B276" s="33" t="s">
        <v>219</v>
      </c>
      <c r="C276" s="34"/>
      <c r="D276" s="35"/>
      <c r="E276" s="36">
        <f t="shared" si="13"/>
        <v>0</v>
      </c>
      <c r="F276" s="50" t="s">
        <v>28</v>
      </c>
      <c r="G276" s="38">
        <v>125</v>
      </c>
      <c r="H276" s="39">
        <f t="shared" si="11"/>
        <v>0</v>
      </c>
      <c r="I276" s="51"/>
      <c r="J276" s="52"/>
      <c r="L276" s="53"/>
      <c r="M276" s="54"/>
    </row>
    <row r="277" spans="1:13" ht="15.75" customHeight="1" x14ac:dyDescent="0.2">
      <c r="A277">
        <v>262</v>
      </c>
      <c r="B277" s="33" t="s">
        <v>220</v>
      </c>
      <c r="C277" s="34"/>
      <c r="D277" s="35"/>
      <c r="E277" s="36">
        <f t="shared" si="13"/>
        <v>0</v>
      </c>
      <c r="F277" s="50" t="s">
        <v>28</v>
      </c>
      <c r="G277" s="38">
        <v>100</v>
      </c>
      <c r="H277" s="39">
        <f t="shared" si="11"/>
        <v>0</v>
      </c>
      <c r="I277" s="51"/>
      <c r="J277" s="52"/>
      <c r="L277" s="53"/>
      <c r="M277" s="54"/>
    </row>
    <row r="278" spans="1:13" ht="15.75" customHeight="1" x14ac:dyDescent="0.2">
      <c r="A278">
        <v>263</v>
      </c>
      <c r="B278" s="33" t="s">
        <v>221</v>
      </c>
      <c r="C278" s="34"/>
      <c r="D278" s="35"/>
      <c r="E278" s="36">
        <f t="shared" si="13"/>
        <v>0</v>
      </c>
      <c r="F278" s="50" t="s">
        <v>28</v>
      </c>
      <c r="G278" s="38">
        <v>83</v>
      </c>
      <c r="H278" s="39">
        <f t="shared" si="11"/>
        <v>0</v>
      </c>
      <c r="I278" s="51"/>
      <c r="J278" s="52"/>
      <c r="L278" s="53"/>
      <c r="M278" s="54"/>
    </row>
    <row r="279" spans="1:13" ht="15.75" customHeight="1" x14ac:dyDescent="0.2">
      <c r="A279">
        <v>264</v>
      </c>
      <c r="B279" s="33" t="s">
        <v>222</v>
      </c>
      <c r="C279" s="34"/>
      <c r="D279" s="35"/>
      <c r="E279" s="36">
        <f t="shared" si="13"/>
        <v>0</v>
      </c>
      <c r="F279" s="50" t="s">
        <v>28</v>
      </c>
      <c r="G279" s="38">
        <v>62</v>
      </c>
      <c r="H279" s="39">
        <f t="shared" si="11"/>
        <v>0</v>
      </c>
      <c r="I279" s="51"/>
      <c r="J279" s="52"/>
      <c r="L279" s="53"/>
      <c r="M279" s="54"/>
    </row>
    <row r="280" spans="1:13" ht="15.75" customHeight="1" x14ac:dyDescent="0.2">
      <c r="A280">
        <v>265</v>
      </c>
      <c r="B280" s="33" t="s">
        <v>223</v>
      </c>
      <c r="C280" s="34"/>
      <c r="D280" s="35"/>
      <c r="E280" s="36">
        <f t="shared" si="13"/>
        <v>0</v>
      </c>
      <c r="F280" s="50" t="s">
        <v>28</v>
      </c>
      <c r="G280" s="38">
        <v>54</v>
      </c>
      <c r="H280" s="39">
        <f t="shared" si="11"/>
        <v>0</v>
      </c>
      <c r="I280" s="51"/>
      <c r="J280" s="52"/>
      <c r="L280" s="53"/>
      <c r="M280" s="54"/>
    </row>
    <row r="281" spans="1:13" ht="15.75" customHeight="1" x14ac:dyDescent="0.2">
      <c r="A281">
        <v>266</v>
      </c>
      <c r="B281" s="33" t="s">
        <v>224</v>
      </c>
      <c r="C281" s="34"/>
      <c r="D281" s="35"/>
      <c r="E281" s="36">
        <f t="shared" si="13"/>
        <v>0</v>
      </c>
      <c r="F281" s="50" t="s">
        <v>28</v>
      </c>
      <c r="G281" s="38">
        <v>47</v>
      </c>
      <c r="H281" s="39">
        <f t="shared" si="11"/>
        <v>0</v>
      </c>
      <c r="I281" s="51"/>
      <c r="J281" s="52"/>
      <c r="L281" s="53"/>
      <c r="M281" s="54"/>
    </row>
    <row r="282" spans="1:13" ht="15.75" customHeight="1" x14ac:dyDescent="0.2">
      <c r="A282">
        <v>267</v>
      </c>
      <c r="B282" s="33" t="s">
        <v>225</v>
      </c>
      <c r="C282" s="34"/>
      <c r="D282" s="35"/>
      <c r="E282" s="36">
        <f t="shared" si="13"/>
        <v>0</v>
      </c>
      <c r="F282" s="50" t="s">
        <v>28</v>
      </c>
      <c r="G282" s="38">
        <v>37</v>
      </c>
      <c r="H282" s="39">
        <f t="shared" si="11"/>
        <v>0</v>
      </c>
      <c r="I282" s="51"/>
      <c r="J282" s="52"/>
      <c r="L282" s="53"/>
      <c r="M282" s="54"/>
    </row>
    <row r="283" spans="1:13" s="2" customFormat="1" ht="15.75" customHeight="1" x14ac:dyDescent="0.25">
      <c r="A283">
        <v>268</v>
      </c>
      <c r="B283" s="84" t="s">
        <v>226</v>
      </c>
      <c r="C283" s="34"/>
      <c r="D283" s="35"/>
      <c r="E283" s="36">
        <f t="shared" si="13"/>
        <v>0</v>
      </c>
      <c r="F283" s="37" t="s">
        <v>28</v>
      </c>
      <c r="G283" s="38">
        <v>519</v>
      </c>
      <c r="H283" s="39">
        <f>E283*G283</f>
        <v>0</v>
      </c>
      <c r="I283" s="51"/>
      <c r="J283" s="52"/>
      <c r="K283"/>
      <c r="L283" s="53"/>
      <c r="M283" s="54"/>
    </row>
    <row r="284" spans="1:13" s="2" customFormat="1" ht="15.75" customHeight="1" x14ac:dyDescent="0.25">
      <c r="A284">
        <v>268</v>
      </c>
      <c r="B284" s="84" t="s">
        <v>227</v>
      </c>
      <c r="C284" s="34"/>
      <c r="D284" s="35"/>
      <c r="E284" s="36">
        <f t="shared" si="13"/>
        <v>0</v>
      </c>
      <c r="F284" s="37" t="s">
        <v>28</v>
      </c>
      <c r="G284" s="38">
        <v>466</v>
      </c>
      <c r="H284" s="39">
        <f t="shared" si="11"/>
        <v>0</v>
      </c>
      <c r="I284" s="51"/>
      <c r="J284" s="52"/>
      <c r="K284"/>
      <c r="L284" s="53"/>
      <c r="M284" s="54"/>
    </row>
    <row r="285" spans="1:13" ht="15.75" customHeight="1" x14ac:dyDescent="0.2">
      <c r="A285">
        <v>269</v>
      </c>
      <c r="B285" s="33" t="s">
        <v>228</v>
      </c>
      <c r="C285" s="34"/>
      <c r="D285" s="35"/>
      <c r="E285" s="36">
        <f t="shared" si="13"/>
        <v>0</v>
      </c>
      <c r="F285" s="50" t="s">
        <v>28</v>
      </c>
      <c r="G285" s="38">
        <v>270</v>
      </c>
      <c r="H285" s="39">
        <f t="shared" ref="H285:H364" si="14">E285*G285</f>
        <v>0</v>
      </c>
      <c r="I285" s="51"/>
      <c r="J285" s="52"/>
      <c r="L285" s="53"/>
      <c r="M285" s="54"/>
    </row>
    <row r="286" spans="1:13" ht="15.75" customHeight="1" x14ac:dyDescent="0.2">
      <c r="A286">
        <v>270</v>
      </c>
      <c r="B286" s="33" t="s">
        <v>229</v>
      </c>
      <c r="C286" s="34"/>
      <c r="D286" s="35"/>
      <c r="E286" s="36">
        <f t="shared" si="13"/>
        <v>0</v>
      </c>
      <c r="F286" s="50" t="s">
        <v>28</v>
      </c>
      <c r="G286" s="38">
        <v>195</v>
      </c>
      <c r="H286" s="39">
        <f t="shared" si="14"/>
        <v>0</v>
      </c>
      <c r="I286" s="51"/>
      <c r="J286" s="52"/>
      <c r="L286" s="53"/>
      <c r="M286" s="54"/>
    </row>
    <row r="287" spans="1:13" ht="15.75" customHeight="1" x14ac:dyDescent="0.2">
      <c r="A287">
        <v>271</v>
      </c>
      <c r="B287" s="33" t="s">
        <v>230</v>
      </c>
      <c r="C287" s="34"/>
      <c r="D287" s="35"/>
      <c r="E287" s="36">
        <f t="shared" si="13"/>
        <v>0</v>
      </c>
      <c r="F287" s="50" t="s">
        <v>28</v>
      </c>
      <c r="G287" s="38">
        <v>171</v>
      </c>
      <c r="H287" s="39">
        <f t="shared" si="14"/>
        <v>0</v>
      </c>
      <c r="I287" s="51"/>
      <c r="J287" s="52"/>
      <c r="L287" s="53"/>
      <c r="M287" s="54"/>
    </row>
    <row r="288" spans="1:13" ht="15.75" customHeight="1" x14ac:dyDescent="0.2">
      <c r="A288">
        <v>272</v>
      </c>
      <c r="B288" s="33" t="s">
        <v>231</v>
      </c>
      <c r="C288" s="34"/>
      <c r="D288" s="35"/>
      <c r="E288" s="36">
        <f t="shared" si="13"/>
        <v>0</v>
      </c>
      <c r="F288" s="50" t="s">
        <v>28</v>
      </c>
      <c r="G288" s="38">
        <v>141</v>
      </c>
      <c r="H288" s="39">
        <f t="shared" si="14"/>
        <v>0</v>
      </c>
      <c r="I288" s="51"/>
      <c r="J288" s="52"/>
      <c r="L288" s="53"/>
      <c r="M288" s="54"/>
    </row>
    <row r="289" spans="1:13" ht="15.75" customHeight="1" x14ac:dyDescent="0.2">
      <c r="A289">
        <v>273</v>
      </c>
      <c r="B289" s="33" t="s">
        <v>232</v>
      </c>
      <c r="C289" s="34"/>
      <c r="D289" s="35"/>
      <c r="E289" s="36">
        <f t="shared" si="13"/>
        <v>0</v>
      </c>
      <c r="F289" s="50" t="s">
        <v>28</v>
      </c>
      <c r="G289" s="38">
        <v>116</v>
      </c>
      <c r="H289" s="39">
        <f t="shared" si="14"/>
        <v>0</v>
      </c>
      <c r="I289" s="51"/>
      <c r="J289" s="52"/>
      <c r="L289" s="53"/>
      <c r="M289" s="54"/>
    </row>
    <row r="290" spans="1:13" ht="15.75" customHeight="1" x14ac:dyDescent="0.2">
      <c r="A290">
        <v>274</v>
      </c>
      <c r="B290" s="33" t="s">
        <v>233</v>
      </c>
      <c r="C290" s="34"/>
      <c r="D290" s="35"/>
      <c r="E290" s="36">
        <f t="shared" si="13"/>
        <v>0</v>
      </c>
      <c r="F290" s="50" t="s">
        <v>28</v>
      </c>
      <c r="G290" s="38">
        <v>85</v>
      </c>
      <c r="H290" s="39">
        <f t="shared" si="14"/>
        <v>0</v>
      </c>
      <c r="I290" s="51"/>
      <c r="J290" s="52"/>
      <c r="L290" s="53"/>
      <c r="M290" s="54"/>
    </row>
    <row r="291" spans="1:13" ht="15.75" customHeight="1" x14ac:dyDescent="0.2">
      <c r="A291">
        <v>275</v>
      </c>
      <c r="B291" s="33" t="s">
        <v>234</v>
      </c>
      <c r="C291" s="34"/>
      <c r="D291" s="35"/>
      <c r="E291" s="36">
        <f t="shared" si="13"/>
        <v>0</v>
      </c>
      <c r="F291" s="50" t="s">
        <v>28</v>
      </c>
      <c r="G291" s="38">
        <v>58</v>
      </c>
      <c r="H291" s="39">
        <f t="shared" si="14"/>
        <v>0</v>
      </c>
      <c r="I291" s="51"/>
      <c r="J291" s="52"/>
      <c r="L291" s="53"/>
      <c r="M291" s="54"/>
    </row>
    <row r="292" spans="1:13" ht="15.75" customHeight="1" x14ac:dyDescent="0.2">
      <c r="A292">
        <v>276</v>
      </c>
      <c r="B292" s="33" t="s">
        <v>235</v>
      </c>
      <c r="C292" s="34"/>
      <c r="D292" s="35"/>
      <c r="E292" s="36">
        <f t="shared" si="13"/>
        <v>0</v>
      </c>
      <c r="F292" s="50" t="s">
        <v>28</v>
      </c>
      <c r="G292" s="38">
        <v>42</v>
      </c>
      <c r="H292" s="39">
        <f t="shared" si="14"/>
        <v>0</v>
      </c>
      <c r="I292" s="51"/>
      <c r="J292" s="52"/>
      <c r="L292" s="53"/>
      <c r="M292" s="54"/>
    </row>
    <row r="293" spans="1:13" ht="15.75" customHeight="1" x14ac:dyDescent="0.2">
      <c r="A293">
        <v>277</v>
      </c>
      <c r="B293" s="33" t="s">
        <v>236</v>
      </c>
      <c r="C293" s="34"/>
      <c r="D293" s="35"/>
      <c r="E293" s="36">
        <f t="shared" si="13"/>
        <v>0</v>
      </c>
      <c r="F293" s="50" t="s">
        <v>28</v>
      </c>
      <c r="G293" s="38">
        <v>35</v>
      </c>
      <c r="H293" s="39">
        <f t="shared" si="14"/>
        <v>0</v>
      </c>
      <c r="I293" s="51"/>
      <c r="J293" s="52"/>
      <c r="L293" s="53"/>
      <c r="M293" s="54"/>
    </row>
    <row r="294" spans="1:13" ht="15.75" customHeight="1" x14ac:dyDescent="0.2">
      <c r="A294">
        <v>278</v>
      </c>
      <c r="B294" s="33" t="s">
        <v>237</v>
      </c>
      <c r="C294" s="34"/>
      <c r="D294" s="35"/>
      <c r="E294" s="36">
        <f t="shared" si="13"/>
        <v>0</v>
      </c>
      <c r="F294" s="50" t="s">
        <v>28</v>
      </c>
      <c r="G294" s="38">
        <v>2000</v>
      </c>
      <c r="H294" s="39">
        <f t="shared" si="14"/>
        <v>0</v>
      </c>
      <c r="I294" s="51"/>
      <c r="J294" s="52"/>
      <c r="L294" s="53"/>
      <c r="M294" s="54"/>
    </row>
    <row r="295" spans="1:13" ht="15.75" customHeight="1" x14ac:dyDescent="0.2">
      <c r="A295">
        <v>279</v>
      </c>
      <c r="B295" s="33" t="s">
        <v>238</v>
      </c>
      <c r="C295" s="34"/>
      <c r="D295" s="35"/>
      <c r="E295" s="36">
        <f t="shared" si="13"/>
        <v>0</v>
      </c>
      <c r="F295" s="50" t="s">
        <v>28</v>
      </c>
      <c r="G295" s="38">
        <v>830</v>
      </c>
      <c r="H295" s="39">
        <f t="shared" si="14"/>
        <v>0</v>
      </c>
      <c r="I295" s="51"/>
      <c r="J295" s="52"/>
      <c r="L295" s="53"/>
      <c r="M295" s="54"/>
    </row>
    <row r="296" spans="1:13" ht="15.75" customHeight="1" x14ac:dyDescent="0.2">
      <c r="A296">
        <v>280</v>
      </c>
      <c r="B296" s="33" t="s">
        <v>239</v>
      </c>
      <c r="C296" s="34"/>
      <c r="D296" s="35"/>
      <c r="E296" s="36">
        <f t="shared" si="13"/>
        <v>0</v>
      </c>
      <c r="F296" s="50" t="s">
        <v>28</v>
      </c>
      <c r="G296" s="38">
        <v>829</v>
      </c>
      <c r="H296" s="39">
        <f t="shared" si="14"/>
        <v>0</v>
      </c>
      <c r="I296" s="51"/>
      <c r="J296" s="52"/>
      <c r="L296" s="53"/>
      <c r="M296" s="54"/>
    </row>
    <row r="297" spans="1:13" ht="15.75" customHeight="1" x14ac:dyDescent="0.2">
      <c r="A297">
        <v>281</v>
      </c>
      <c r="B297" s="33" t="s">
        <v>240</v>
      </c>
      <c r="C297" s="34"/>
      <c r="D297" s="35"/>
      <c r="E297" s="36">
        <f t="shared" si="13"/>
        <v>0</v>
      </c>
      <c r="F297" s="50" t="s">
        <v>28</v>
      </c>
      <c r="G297" s="38">
        <v>646</v>
      </c>
      <c r="H297" s="39">
        <f t="shared" si="14"/>
        <v>0</v>
      </c>
      <c r="I297" s="51"/>
      <c r="J297" s="52"/>
      <c r="L297" s="53"/>
      <c r="M297" s="54"/>
    </row>
    <row r="298" spans="1:13" ht="15.75" customHeight="1" x14ac:dyDescent="0.2">
      <c r="A298">
        <v>282</v>
      </c>
      <c r="B298" s="33" t="s">
        <v>241</v>
      </c>
      <c r="C298" s="34"/>
      <c r="D298" s="35"/>
      <c r="E298" s="36">
        <f t="shared" si="13"/>
        <v>0</v>
      </c>
      <c r="F298" s="50" t="s">
        <v>28</v>
      </c>
      <c r="G298" s="38">
        <v>407</v>
      </c>
      <c r="H298" s="39">
        <f t="shared" si="14"/>
        <v>0</v>
      </c>
      <c r="I298" s="51"/>
      <c r="J298" s="52"/>
      <c r="L298" s="53"/>
      <c r="M298" s="54"/>
    </row>
    <row r="299" spans="1:13" ht="15.75" customHeight="1" x14ac:dyDescent="0.2">
      <c r="A299">
        <v>283</v>
      </c>
      <c r="B299" s="33" t="s">
        <v>242</v>
      </c>
      <c r="C299" s="34"/>
      <c r="D299" s="35"/>
      <c r="E299" s="36">
        <f t="shared" si="13"/>
        <v>0</v>
      </c>
      <c r="F299" s="50" t="s">
        <v>28</v>
      </c>
      <c r="G299" s="38">
        <v>300</v>
      </c>
      <c r="H299" s="39">
        <f t="shared" si="14"/>
        <v>0</v>
      </c>
      <c r="I299" s="51"/>
      <c r="J299" s="52"/>
      <c r="L299" s="53"/>
      <c r="M299" s="54"/>
    </row>
    <row r="300" spans="1:13" ht="15.75" customHeight="1" x14ac:dyDescent="0.2">
      <c r="A300">
        <v>284</v>
      </c>
      <c r="B300" s="33" t="s">
        <v>243</v>
      </c>
      <c r="C300" s="34"/>
      <c r="D300" s="35"/>
      <c r="E300" s="36">
        <f t="shared" si="13"/>
        <v>0</v>
      </c>
      <c r="F300" s="50" t="s">
        <v>28</v>
      </c>
      <c r="G300" s="38">
        <v>245</v>
      </c>
      <c r="H300" s="39">
        <f t="shared" si="14"/>
        <v>0</v>
      </c>
      <c r="I300" s="51"/>
      <c r="J300" s="52"/>
      <c r="L300" s="53"/>
      <c r="M300" s="54"/>
    </row>
    <row r="301" spans="1:13" ht="15.75" customHeight="1" x14ac:dyDescent="0.2">
      <c r="A301">
        <v>285</v>
      </c>
      <c r="B301" s="33" t="s">
        <v>244</v>
      </c>
      <c r="C301" s="34"/>
      <c r="D301" s="35"/>
      <c r="E301" s="36">
        <f t="shared" si="13"/>
        <v>0</v>
      </c>
      <c r="F301" s="50" t="s">
        <v>28</v>
      </c>
      <c r="G301" s="38">
        <v>183</v>
      </c>
      <c r="H301" s="39">
        <f t="shared" si="14"/>
        <v>0</v>
      </c>
      <c r="I301" s="51"/>
      <c r="J301" s="52"/>
      <c r="L301" s="53"/>
      <c r="M301" s="54"/>
    </row>
    <row r="302" spans="1:13" ht="15.75" customHeight="1" x14ac:dyDescent="0.2">
      <c r="A302">
        <v>286</v>
      </c>
      <c r="B302" s="33" t="s">
        <v>245</v>
      </c>
      <c r="C302" s="34"/>
      <c r="D302" s="35"/>
      <c r="E302" s="36">
        <f t="shared" si="13"/>
        <v>0</v>
      </c>
      <c r="F302" s="50" t="s">
        <v>28</v>
      </c>
      <c r="G302" s="38">
        <v>133</v>
      </c>
      <c r="H302" s="39">
        <f t="shared" si="14"/>
        <v>0</v>
      </c>
      <c r="I302" s="51"/>
      <c r="J302" s="52"/>
      <c r="L302" s="53"/>
      <c r="M302" s="54"/>
    </row>
    <row r="303" spans="1:13" ht="15.75" customHeight="1" x14ac:dyDescent="0.2">
      <c r="A303">
        <v>287</v>
      </c>
      <c r="B303" s="33" t="s">
        <v>246</v>
      </c>
      <c r="C303" s="34"/>
      <c r="D303" s="35"/>
      <c r="E303" s="36">
        <f t="shared" si="13"/>
        <v>0</v>
      </c>
      <c r="F303" s="50" t="s">
        <v>28</v>
      </c>
      <c r="G303" s="38">
        <v>96</v>
      </c>
      <c r="H303" s="39">
        <f t="shared" si="14"/>
        <v>0</v>
      </c>
      <c r="I303" s="51"/>
      <c r="J303" s="52"/>
      <c r="L303" s="53"/>
      <c r="M303" s="54"/>
    </row>
    <row r="304" spans="1:13" ht="15.75" customHeight="1" x14ac:dyDescent="0.2">
      <c r="A304">
        <v>278</v>
      </c>
      <c r="B304" s="33" t="s">
        <v>247</v>
      </c>
      <c r="C304" s="34"/>
      <c r="D304" s="35"/>
      <c r="E304" s="36">
        <f t="shared" si="13"/>
        <v>0</v>
      </c>
      <c r="F304" s="50" t="s">
        <v>28</v>
      </c>
      <c r="G304" s="38">
        <v>173</v>
      </c>
      <c r="H304" s="39">
        <f t="shared" si="14"/>
        <v>0</v>
      </c>
      <c r="I304" s="51"/>
      <c r="J304" s="52"/>
      <c r="L304" s="53"/>
      <c r="M304" s="54"/>
    </row>
    <row r="305" spans="1:14" ht="15.75" customHeight="1" x14ac:dyDescent="0.2">
      <c r="A305">
        <v>278</v>
      </c>
      <c r="B305" s="33" t="s">
        <v>248</v>
      </c>
      <c r="C305" s="34"/>
      <c r="D305" s="35"/>
      <c r="E305" s="36">
        <f t="shared" si="13"/>
        <v>0</v>
      </c>
      <c r="F305" s="50" t="s">
        <v>28</v>
      </c>
      <c r="G305" s="38">
        <v>146</v>
      </c>
      <c r="H305" s="39">
        <f t="shared" si="14"/>
        <v>0</v>
      </c>
      <c r="I305" s="51"/>
      <c r="J305" s="52"/>
      <c r="L305" s="53"/>
      <c r="M305" s="54"/>
    </row>
    <row r="306" spans="1:14" ht="15.75" customHeight="1" x14ac:dyDescent="0.2">
      <c r="A306">
        <v>279</v>
      </c>
      <c r="B306" s="33" t="s">
        <v>249</v>
      </c>
      <c r="C306" s="34"/>
      <c r="D306" s="35"/>
      <c r="E306" s="36">
        <f t="shared" si="13"/>
        <v>0</v>
      </c>
      <c r="F306" s="50" t="s">
        <v>28</v>
      </c>
      <c r="G306" s="38">
        <v>104</v>
      </c>
      <c r="H306" s="39">
        <f t="shared" si="14"/>
        <v>0</v>
      </c>
      <c r="I306" s="51"/>
      <c r="J306" s="52"/>
      <c r="L306" s="53"/>
      <c r="M306" s="54"/>
    </row>
    <row r="307" spans="1:14" ht="15.75" customHeight="1" x14ac:dyDescent="0.2">
      <c r="A307">
        <v>280</v>
      </c>
      <c r="B307" s="33" t="s">
        <v>250</v>
      </c>
      <c r="C307" s="34"/>
      <c r="D307" s="35"/>
      <c r="E307" s="36">
        <f t="shared" si="13"/>
        <v>0</v>
      </c>
      <c r="F307" s="50" t="s">
        <v>28</v>
      </c>
      <c r="G307" s="38">
        <v>76</v>
      </c>
      <c r="H307" s="39">
        <f t="shared" si="14"/>
        <v>0</v>
      </c>
      <c r="I307" s="51"/>
      <c r="J307" s="52"/>
      <c r="L307" s="53"/>
      <c r="M307" s="54"/>
    </row>
    <row r="308" spans="1:14" ht="15.75" customHeight="1" x14ac:dyDescent="0.2">
      <c r="A308">
        <v>281</v>
      </c>
      <c r="B308" s="33" t="s">
        <v>251</v>
      </c>
      <c r="C308" s="34"/>
      <c r="D308" s="35"/>
      <c r="E308" s="36">
        <f t="shared" si="13"/>
        <v>0</v>
      </c>
      <c r="F308" s="50" t="s">
        <v>28</v>
      </c>
      <c r="G308" s="38">
        <v>76</v>
      </c>
      <c r="H308" s="39">
        <f t="shared" si="14"/>
        <v>0</v>
      </c>
      <c r="I308" s="51"/>
      <c r="J308" s="52"/>
      <c r="L308" s="53"/>
      <c r="M308" s="54"/>
    </row>
    <row r="309" spans="1:14" ht="15.75" customHeight="1" x14ac:dyDescent="0.2">
      <c r="A309">
        <v>282</v>
      </c>
      <c r="B309" s="33" t="s">
        <v>252</v>
      </c>
      <c r="C309" s="34"/>
      <c r="D309" s="35"/>
      <c r="E309" s="36">
        <f t="shared" si="13"/>
        <v>0</v>
      </c>
      <c r="F309" s="50" t="s">
        <v>28</v>
      </c>
      <c r="G309" s="38">
        <v>53</v>
      </c>
      <c r="H309" s="39">
        <f t="shared" si="14"/>
        <v>0</v>
      </c>
      <c r="I309" s="51"/>
      <c r="J309" s="52"/>
      <c r="L309" s="53"/>
      <c r="M309" s="54"/>
    </row>
    <row r="310" spans="1:14" ht="15.75" customHeight="1" x14ac:dyDescent="0.2">
      <c r="A310">
        <v>283</v>
      </c>
      <c r="B310" s="33" t="s">
        <v>253</v>
      </c>
      <c r="C310" s="34"/>
      <c r="D310" s="35"/>
      <c r="E310" s="36">
        <f t="shared" si="13"/>
        <v>0</v>
      </c>
      <c r="F310" s="50" t="s">
        <v>28</v>
      </c>
      <c r="G310" s="38">
        <v>53</v>
      </c>
      <c r="H310" s="39">
        <f t="shared" si="14"/>
        <v>0</v>
      </c>
      <c r="I310" s="51"/>
      <c r="J310" s="52"/>
      <c r="L310" s="53"/>
      <c r="M310" s="54"/>
    </row>
    <row r="311" spans="1:14" ht="15.75" customHeight="1" x14ac:dyDescent="0.2">
      <c r="A311">
        <v>284</v>
      </c>
      <c r="B311" s="33" t="s">
        <v>254</v>
      </c>
      <c r="C311" s="34"/>
      <c r="D311" s="35"/>
      <c r="E311" s="36">
        <f t="shared" si="13"/>
        <v>0</v>
      </c>
      <c r="F311" s="50" t="s">
        <v>28</v>
      </c>
      <c r="G311" s="38">
        <v>53</v>
      </c>
      <c r="H311" s="39">
        <f t="shared" si="14"/>
        <v>0</v>
      </c>
      <c r="I311" s="51"/>
      <c r="J311" s="52"/>
      <c r="L311" s="53"/>
      <c r="M311" s="54"/>
    </row>
    <row r="312" spans="1:14" ht="15.75" customHeight="1" x14ac:dyDescent="0.2">
      <c r="A312">
        <v>285</v>
      </c>
      <c r="B312" s="33" t="s">
        <v>255</v>
      </c>
      <c r="C312" s="34"/>
      <c r="D312" s="35"/>
      <c r="E312" s="36">
        <f t="shared" si="13"/>
        <v>0</v>
      </c>
      <c r="F312" s="50" t="s">
        <v>28</v>
      </c>
      <c r="G312" s="38">
        <v>41</v>
      </c>
      <c r="H312" s="39">
        <f t="shared" si="14"/>
        <v>0</v>
      </c>
      <c r="I312" s="51"/>
      <c r="J312" s="52"/>
      <c r="L312" s="53"/>
      <c r="M312" s="54"/>
    </row>
    <row r="313" spans="1:14" ht="15.75" customHeight="1" x14ac:dyDescent="0.2">
      <c r="A313">
        <v>286</v>
      </c>
      <c r="B313" s="33" t="s">
        <v>256</v>
      </c>
      <c r="C313" s="34"/>
      <c r="D313" s="35"/>
      <c r="E313" s="36">
        <f t="shared" si="13"/>
        <v>0</v>
      </c>
      <c r="F313" s="50" t="s">
        <v>28</v>
      </c>
      <c r="G313" s="38">
        <v>41</v>
      </c>
      <c r="H313" s="39">
        <f t="shared" si="14"/>
        <v>0</v>
      </c>
      <c r="I313" s="51"/>
      <c r="J313" s="52"/>
      <c r="L313" s="53"/>
      <c r="M313" s="54"/>
    </row>
    <row r="314" spans="1:14" ht="15.75" customHeight="1" x14ac:dyDescent="0.2">
      <c r="A314">
        <v>287</v>
      </c>
      <c r="B314" s="33" t="s">
        <v>257</v>
      </c>
      <c r="C314" s="34"/>
      <c r="D314" s="35"/>
      <c r="E314" s="36">
        <f t="shared" si="13"/>
        <v>0</v>
      </c>
      <c r="F314" s="50" t="s">
        <v>28</v>
      </c>
      <c r="G314" s="38">
        <v>41</v>
      </c>
      <c r="H314" s="39">
        <f t="shared" si="14"/>
        <v>0</v>
      </c>
      <c r="I314" s="51"/>
      <c r="J314" s="52"/>
      <c r="L314" s="53"/>
      <c r="M314" s="54"/>
    </row>
    <row r="315" spans="1:14" ht="15.75" customHeight="1" x14ac:dyDescent="0.2">
      <c r="A315">
        <v>288</v>
      </c>
      <c r="B315" s="33"/>
      <c r="C315" s="34"/>
      <c r="D315" s="35"/>
      <c r="E315" s="36"/>
      <c r="F315" s="50"/>
      <c r="G315" s="38"/>
      <c r="H315" s="39">
        <f t="shared" si="14"/>
        <v>0</v>
      </c>
      <c r="I315" s="51"/>
      <c r="J315" s="51"/>
    </row>
    <row r="316" spans="1:14" s="19" customFormat="1" ht="33.75" customHeight="1" x14ac:dyDescent="0.3">
      <c r="A316" s="19">
        <v>289</v>
      </c>
      <c r="B316" s="85" t="s">
        <v>258</v>
      </c>
      <c r="C316" s="21"/>
      <c r="D316" s="22"/>
      <c r="E316" s="48"/>
      <c r="F316" s="59"/>
      <c r="G316" s="31"/>
      <c r="H316" s="49">
        <f t="shared" si="14"/>
        <v>0</v>
      </c>
      <c r="I316" s="51"/>
      <c r="J316" s="51"/>
    </row>
    <row r="317" spans="1:14" s="2" customFormat="1" ht="15.75" customHeight="1" x14ac:dyDescent="0.25">
      <c r="A317">
        <v>248</v>
      </c>
      <c r="B317" s="84" t="s">
        <v>204</v>
      </c>
      <c r="C317" s="34"/>
      <c r="D317" s="35"/>
      <c r="E317" s="36">
        <f t="shared" ref="E317:E380" si="15">SUM(C317:D317)</f>
        <v>0</v>
      </c>
      <c r="F317" s="37" t="s">
        <v>22</v>
      </c>
      <c r="G317" s="38">
        <v>670</v>
      </c>
      <c r="H317" s="39">
        <f t="shared" si="14"/>
        <v>0</v>
      </c>
      <c r="I317" s="51"/>
      <c r="J317" s="52"/>
      <c r="K317"/>
      <c r="L317" s="53"/>
      <c r="M317" s="54"/>
      <c r="N317" s="55"/>
    </row>
    <row r="318" spans="1:14" s="2" customFormat="1" ht="16.5" customHeight="1" x14ac:dyDescent="0.25">
      <c r="A318">
        <v>290</v>
      </c>
      <c r="B318" s="86" t="s">
        <v>205</v>
      </c>
      <c r="C318" s="34"/>
      <c r="D318" s="35"/>
      <c r="E318" s="36">
        <f t="shared" si="15"/>
        <v>0</v>
      </c>
      <c r="F318" s="37" t="s">
        <v>22</v>
      </c>
      <c r="G318" s="38">
        <v>549</v>
      </c>
      <c r="H318" s="39">
        <f t="shared" si="14"/>
        <v>0</v>
      </c>
      <c r="I318" s="51"/>
      <c r="J318" s="52"/>
      <c r="K318"/>
      <c r="L318" s="53"/>
      <c r="M318" s="54"/>
      <c r="N318" s="55"/>
    </row>
    <row r="319" spans="1:14" ht="16.5" customHeight="1" x14ac:dyDescent="0.2">
      <c r="A319">
        <v>291</v>
      </c>
      <c r="B319" s="33" t="s">
        <v>206</v>
      </c>
      <c r="C319" s="34"/>
      <c r="D319" s="35"/>
      <c r="E319" s="36">
        <f t="shared" si="15"/>
        <v>0</v>
      </c>
      <c r="F319" s="50" t="s">
        <v>22</v>
      </c>
      <c r="G319" s="38">
        <v>403</v>
      </c>
      <c r="H319" s="39">
        <f t="shared" si="14"/>
        <v>0</v>
      </c>
      <c r="I319" s="51"/>
      <c r="J319" s="52"/>
      <c r="L319" s="53"/>
      <c r="M319" s="54"/>
      <c r="N319" s="55"/>
    </row>
    <row r="320" spans="1:14" ht="16.5" customHeight="1" x14ac:dyDescent="0.2">
      <c r="A320">
        <v>292</v>
      </c>
      <c r="B320" s="33" t="s">
        <v>207</v>
      </c>
      <c r="C320" s="34"/>
      <c r="D320" s="35"/>
      <c r="E320" s="36">
        <f t="shared" si="15"/>
        <v>0</v>
      </c>
      <c r="F320" s="50" t="s">
        <v>22</v>
      </c>
      <c r="G320" s="38">
        <v>336</v>
      </c>
      <c r="H320" s="39">
        <f t="shared" si="14"/>
        <v>0</v>
      </c>
      <c r="I320" s="51"/>
      <c r="J320" s="52"/>
      <c r="L320" s="53"/>
      <c r="M320" s="54"/>
      <c r="N320" s="55"/>
    </row>
    <row r="321" spans="1:14" ht="16.5" customHeight="1" x14ac:dyDescent="0.2">
      <c r="A321">
        <v>293</v>
      </c>
      <c r="B321" s="33" t="s">
        <v>208</v>
      </c>
      <c r="C321" s="34"/>
      <c r="D321" s="35"/>
      <c r="E321" s="36">
        <f t="shared" si="15"/>
        <v>0</v>
      </c>
      <c r="F321" s="50" t="s">
        <v>22</v>
      </c>
      <c r="G321" s="38">
        <v>245</v>
      </c>
      <c r="H321" s="39">
        <f t="shared" si="14"/>
        <v>0</v>
      </c>
      <c r="I321" s="51"/>
      <c r="J321" s="52"/>
      <c r="L321" s="53"/>
      <c r="M321" s="54"/>
      <c r="N321" s="55"/>
    </row>
    <row r="322" spans="1:14" ht="16.5" customHeight="1" x14ac:dyDescent="0.2">
      <c r="A322">
        <v>294</v>
      </c>
      <c r="B322" s="33" t="s">
        <v>209</v>
      </c>
      <c r="C322" s="34"/>
      <c r="D322" s="35"/>
      <c r="E322" s="36">
        <f t="shared" si="15"/>
        <v>0</v>
      </c>
      <c r="F322" s="50" t="s">
        <v>22</v>
      </c>
      <c r="G322" s="38">
        <v>220</v>
      </c>
      <c r="H322" s="39">
        <f t="shared" si="14"/>
        <v>0</v>
      </c>
      <c r="I322" s="51"/>
      <c r="J322" s="52"/>
      <c r="L322" s="53"/>
      <c r="M322" s="54"/>
      <c r="N322" s="55"/>
    </row>
    <row r="323" spans="1:14" ht="16.5" customHeight="1" x14ac:dyDescent="0.2">
      <c r="A323">
        <v>295</v>
      </c>
      <c r="B323" s="33" t="s">
        <v>210</v>
      </c>
      <c r="C323" s="34"/>
      <c r="D323" s="35"/>
      <c r="E323" s="36">
        <f t="shared" si="15"/>
        <v>0</v>
      </c>
      <c r="F323" s="50" t="s">
        <v>22</v>
      </c>
      <c r="G323" s="38">
        <v>162</v>
      </c>
      <c r="H323" s="39">
        <f t="shared" si="14"/>
        <v>0</v>
      </c>
      <c r="I323" s="51"/>
      <c r="J323" s="52"/>
      <c r="L323" s="53"/>
      <c r="M323" s="54"/>
      <c r="N323" s="55"/>
    </row>
    <row r="324" spans="1:14" ht="16.5" customHeight="1" x14ac:dyDescent="0.2">
      <c r="A324">
        <v>296</v>
      </c>
      <c r="B324" s="33" t="s">
        <v>211</v>
      </c>
      <c r="C324" s="34"/>
      <c r="D324" s="35"/>
      <c r="E324" s="36">
        <f t="shared" si="15"/>
        <v>0</v>
      </c>
      <c r="F324" s="50" t="s">
        <v>22</v>
      </c>
      <c r="G324" s="38">
        <v>140</v>
      </c>
      <c r="H324" s="39">
        <f t="shared" si="14"/>
        <v>0</v>
      </c>
      <c r="I324" s="51"/>
      <c r="J324" s="52"/>
      <c r="L324" s="53"/>
      <c r="M324" s="54"/>
      <c r="N324" s="55"/>
    </row>
    <row r="325" spans="1:14" ht="16.5" customHeight="1" x14ac:dyDescent="0.2">
      <c r="A325">
        <v>297</v>
      </c>
      <c r="B325" s="33" t="s">
        <v>212</v>
      </c>
      <c r="C325" s="34"/>
      <c r="D325" s="35"/>
      <c r="E325" s="36">
        <f t="shared" si="15"/>
        <v>0</v>
      </c>
      <c r="F325" s="50" t="s">
        <v>22</v>
      </c>
      <c r="G325" s="38">
        <v>127</v>
      </c>
      <c r="H325" s="39">
        <f t="shared" si="14"/>
        <v>0</v>
      </c>
      <c r="I325" s="51"/>
      <c r="J325" s="52"/>
      <c r="L325" s="53"/>
      <c r="M325" s="54"/>
      <c r="N325" s="55"/>
    </row>
    <row r="326" spans="1:14" ht="16.5" customHeight="1" x14ac:dyDescent="0.2">
      <c r="A326">
        <v>298</v>
      </c>
      <c r="B326" s="33" t="s">
        <v>213</v>
      </c>
      <c r="C326" s="34"/>
      <c r="D326" s="35"/>
      <c r="E326" s="36">
        <f t="shared" si="15"/>
        <v>0</v>
      </c>
      <c r="F326" s="50" t="s">
        <v>22</v>
      </c>
      <c r="G326" s="38">
        <v>79</v>
      </c>
      <c r="H326" s="39">
        <f t="shared" si="14"/>
        <v>0</v>
      </c>
      <c r="I326" s="51"/>
      <c r="J326" s="52"/>
      <c r="L326" s="53"/>
      <c r="M326" s="54"/>
      <c r="N326" s="55"/>
    </row>
    <row r="327" spans="1:14" ht="16.5" customHeight="1" x14ac:dyDescent="0.2">
      <c r="A327">
        <v>299</v>
      </c>
      <c r="B327" s="33" t="s">
        <v>214</v>
      </c>
      <c r="C327" s="34"/>
      <c r="D327" s="35"/>
      <c r="E327" s="36">
        <f t="shared" si="15"/>
        <v>0</v>
      </c>
      <c r="F327" s="50" t="s">
        <v>22</v>
      </c>
      <c r="G327" s="38">
        <v>67</v>
      </c>
      <c r="H327" s="39">
        <f t="shared" si="14"/>
        <v>0</v>
      </c>
      <c r="I327" s="51"/>
      <c r="J327" s="52"/>
      <c r="L327" s="53"/>
      <c r="M327" s="54"/>
      <c r="N327" s="55"/>
    </row>
    <row r="328" spans="1:14" s="2" customFormat="1" ht="15.75" customHeight="1" x14ac:dyDescent="0.25">
      <c r="A328">
        <v>258</v>
      </c>
      <c r="B328" s="84" t="s">
        <v>215</v>
      </c>
      <c r="C328" s="34"/>
      <c r="D328" s="35"/>
      <c r="E328" s="36">
        <f t="shared" si="15"/>
        <v>0</v>
      </c>
      <c r="F328" s="37" t="s">
        <v>28</v>
      </c>
      <c r="G328" s="38">
        <v>567</v>
      </c>
      <c r="H328" s="39">
        <f t="shared" si="14"/>
        <v>0</v>
      </c>
      <c r="I328" s="51"/>
      <c r="J328" s="52"/>
      <c r="K328"/>
      <c r="L328" s="53"/>
      <c r="M328" s="54"/>
      <c r="N328" s="55"/>
    </row>
    <row r="329" spans="1:14" s="2" customFormat="1" ht="16.5" customHeight="1" x14ac:dyDescent="0.25">
      <c r="A329">
        <v>300</v>
      </c>
      <c r="B329" s="86" t="s">
        <v>216</v>
      </c>
      <c r="C329" s="34"/>
      <c r="D329" s="35"/>
      <c r="E329" s="36">
        <f t="shared" si="15"/>
        <v>0</v>
      </c>
      <c r="F329" s="37" t="s">
        <v>28</v>
      </c>
      <c r="G329" s="38">
        <v>420</v>
      </c>
      <c r="H329" s="39">
        <f t="shared" si="14"/>
        <v>0</v>
      </c>
      <c r="I329" s="51"/>
      <c r="J329" s="52"/>
      <c r="K329"/>
      <c r="L329" s="53"/>
      <c r="M329" s="54"/>
      <c r="N329" s="55"/>
    </row>
    <row r="330" spans="1:14" ht="16.5" customHeight="1" x14ac:dyDescent="0.2">
      <c r="A330">
        <v>301</v>
      </c>
      <c r="B330" s="33" t="s">
        <v>217</v>
      </c>
      <c r="C330" s="34"/>
      <c r="D330" s="35"/>
      <c r="E330" s="36">
        <f t="shared" si="15"/>
        <v>0</v>
      </c>
      <c r="F330" s="50" t="s">
        <v>28</v>
      </c>
      <c r="G330" s="38">
        <v>233</v>
      </c>
      <c r="H330" s="39">
        <f t="shared" si="14"/>
        <v>0</v>
      </c>
      <c r="I330" s="51"/>
      <c r="J330" s="52"/>
      <c r="L330" s="53"/>
      <c r="M330" s="54"/>
      <c r="N330" s="55"/>
    </row>
    <row r="331" spans="1:14" ht="16.5" customHeight="1" x14ac:dyDescent="0.2">
      <c r="A331">
        <v>302</v>
      </c>
      <c r="B331" s="33" t="s">
        <v>218</v>
      </c>
      <c r="C331" s="34"/>
      <c r="D331" s="35"/>
      <c r="E331" s="36">
        <f t="shared" si="15"/>
        <v>0</v>
      </c>
      <c r="F331" s="50" t="s">
        <v>28</v>
      </c>
      <c r="G331" s="38">
        <v>168</v>
      </c>
      <c r="H331" s="39">
        <f t="shared" si="14"/>
        <v>0</v>
      </c>
      <c r="I331" s="51"/>
      <c r="J331" s="52"/>
      <c r="L331" s="53"/>
      <c r="M331" s="54"/>
      <c r="N331" s="55"/>
    </row>
    <row r="332" spans="1:14" ht="16.5" customHeight="1" x14ac:dyDescent="0.2">
      <c r="A332">
        <v>303</v>
      </c>
      <c r="B332" s="33" t="s">
        <v>219</v>
      </c>
      <c r="C332" s="34"/>
      <c r="D332" s="35"/>
      <c r="E332" s="36">
        <f t="shared" si="15"/>
        <v>0</v>
      </c>
      <c r="F332" s="50" t="s">
        <v>28</v>
      </c>
      <c r="G332" s="38">
        <v>125</v>
      </c>
      <c r="H332" s="39">
        <f t="shared" si="14"/>
        <v>0</v>
      </c>
      <c r="I332" s="51"/>
      <c r="J332" s="52"/>
      <c r="L332" s="53"/>
      <c r="M332" s="54"/>
      <c r="N332" s="55"/>
    </row>
    <row r="333" spans="1:14" ht="16.5" customHeight="1" x14ac:dyDescent="0.2">
      <c r="A333">
        <v>304</v>
      </c>
      <c r="B333" s="33" t="s">
        <v>220</v>
      </c>
      <c r="C333" s="34"/>
      <c r="D333" s="35"/>
      <c r="E333" s="36">
        <f t="shared" si="15"/>
        <v>0</v>
      </c>
      <c r="F333" s="50" t="s">
        <v>28</v>
      </c>
      <c r="G333" s="38">
        <v>100</v>
      </c>
      <c r="H333" s="39">
        <f t="shared" si="14"/>
        <v>0</v>
      </c>
      <c r="I333" s="51"/>
      <c r="J333" s="52"/>
      <c r="L333" s="53"/>
      <c r="M333" s="54"/>
      <c r="N333" s="55"/>
    </row>
    <row r="334" spans="1:14" ht="16.5" customHeight="1" x14ac:dyDescent="0.2">
      <c r="A334">
        <v>305</v>
      </c>
      <c r="B334" s="33" t="s">
        <v>221</v>
      </c>
      <c r="C334" s="34"/>
      <c r="D334" s="35"/>
      <c r="E334" s="36">
        <f t="shared" si="15"/>
        <v>0</v>
      </c>
      <c r="F334" s="50" t="s">
        <v>28</v>
      </c>
      <c r="G334" s="38">
        <v>83</v>
      </c>
      <c r="H334" s="39">
        <f t="shared" si="14"/>
        <v>0</v>
      </c>
      <c r="I334" s="51"/>
      <c r="J334" s="52"/>
      <c r="L334" s="53"/>
      <c r="M334" s="54"/>
      <c r="N334" s="55"/>
    </row>
    <row r="335" spans="1:14" ht="16.5" customHeight="1" x14ac:dyDescent="0.2">
      <c r="A335">
        <v>306</v>
      </c>
      <c r="B335" s="33" t="s">
        <v>222</v>
      </c>
      <c r="C335" s="34"/>
      <c r="D335" s="35"/>
      <c r="E335" s="36">
        <f t="shared" si="15"/>
        <v>0</v>
      </c>
      <c r="F335" s="50" t="s">
        <v>28</v>
      </c>
      <c r="G335" s="38">
        <v>62</v>
      </c>
      <c r="H335" s="39">
        <f t="shared" si="14"/>
        <v>0</v>
      </c>
      <c r="I335" s="51"/>
      <c r="J335" s="52"/>
      <c r="L335" s="53"/>
      <c r="M335" s="54"/>
      <c r="N335" s="55"/>
    </row>
    <row r="336" spans="1:14" ht="16.5" customHeight="1" x14ac:dyDescent="0.2">
      <c r="A336">
        <v>307</v>
      </c>
      <c r="B336" s="33" t="s">
        <v>223</v>
      </c>
      <c r="C336" s="34"/>
      <c r="D336" s="35"/>
      <c r="E336" s="36">
        <f t="shared" si="15"/>
        <v>0</v>
      </c>
      <c r="F336" s="50" t="s">
        <v>28</v>
      </c>
      <c r="G336" s="38">
        <v>54</v>
      </c>
      <c r="H336" s="39">
        <f t="shared" si="14"/>
        <v>0</v>
      </c>
      <c r="I336" s="51"/>
      <c r="J336" s="52"/>
      <c r="L336" s="53"/>
      <c r="M336" s="54"/>
      <c r="N336" s="55"/>
    </row>
    <row r="337" spans="1:14" ht="16.5" customHeight="1" x14ac:dyDescent="0.2">
      <c r="A337">
        <v>308</v>
      </c>
      <c r="B337" s="33" t="s">
        <v>224</v>
      </c>
      <c r="C337" s="34"/>
      <c r="D337" s="35"/>
      <c r="E337" s="36">
        <f t="shared" si="15"/>
        <v>0</v>
      </c>
      <c r="F337" s="50" t="s">
        <v>28</v>
      </c>
      <c r="G337" s="38">
        <v>47</v>
      </c>
      <c r="H337" s="39">
        <f t="shared" si="14"/>
        <v>0</v>
      </c>
      <c r="I337" s="51"/>
      <c r="J337" s="52"/>
      <c r="L337" s="53"/>
      <c r="M337" s="54"/>
      <c r="N337" s="55"/>
    </row>
    <row r="338" spans="1:14" ht="16.5" customHeight="1" x14ac:dyDescent="0.2">
      <c r="A338">
        <v>309</v>
      </c>
      <c r="B338" s="33" t="s">
        <v>225</v>
      </c>
      <c r="C338" s="34"/>
      <c r="D338" s="35"/>
      <c r="E338" s="36">
        <f t="shared" si="15"/>
        <v>0</v>
      </c>
      <c r="F338" s="50" t="s">
        <v>28</v>
      </c>
      <c r="G338" s="38">
        <v>37</v>
      </c>
      <c r="H338" s="39">
        <f t="shared" si="14"/>
        <v>0</v>
      </c>
      <c r="I338" s="51"/>
      <c r="J338" s="52"/>
      <c r="L338" s="53"/>
      <c r="M338" s="54"/>
      <c r="N338" s="55"/>
    </row>
    <row r="339" spans="1:14" s="2" customFormat="1" ht="15.75" customHeight="1" x14ac:dyDescent="0.25">
      <c r="A339">
        <v>268</v>
      </c>
      <c r="B339" s="84" t="s">
        <v>226</v>
      </c>
      <c r="C339" s="34"/>
      <c r="D339" s="35"/>
      <c r="E339" s="36">
        <f t="shared" si="15"/>
        <v>0</v>
      </c>
      <c r="F339" s="37" t="s">
        <v>28</v>
      </c>
      <c r="G339" s="38">
        <v>519</v>
      </c>
      <c r="H339" s="39">
        <f t="shared" si="14"/>
        <v>0</v>
      </c>
      <c r="I339" s="51"/>
      <c r="J339" s="52"/>
      <c r="K339"/>
      <c r="L339" s="53"/>
      <c r="M339" s="54"/>
      <c r="N339" s="55"/>
    </row>
    <row r="340" spans="1:14" s="2" customFormat="1" ht="16.5" customHeight="1" x14ac:dyDescent="0.25">
      <c r="A340">
        <v>310</v>
      </c>
      <c r="B340" s="86" t="s">
        <v>227</v>
      </c>
      <c r="C340" s="34"/>
      <c r="D340" s="35"/>
      <c r="E340" s="36">
        <f t="shared" si="15"/>
        <v>0</v>
      </c>
      <c r="F340" s="37" t="s">
        <v>28</v>
      </c>
      <c r="G340" s="38">
        <v>466</v>
      </c>
      <c r="H340" s="39">
        <f t="shared" si="14"/>
        <v>0</v>
      </c>
      <c r="I340" s="51"/>
      <c r="J340" s="52"/>
      <c r="K340"/>
      <c r="L340" s="53"/>
      <c r="M340" s="54"/>
      <c r="N340" s="55"/>
    </row>
    <row r="341" spans="1:14" ht="16.5" customHeight="1" x14ac:dyDescent="0.2">
      <c r="A341">
        <v>311</v>
      </c>
      <c r="B341" s="33" t="s">
        <v>228</v>
      </c>
      <c r="C341" s="34"/>
      <c r="D341" s="35"/>
      <c r="E341" s="36">
        <f t="shared" si="15"/>
        <v>0</v>
      </c>
      <c r="F341" s="50" t="s">
        <v>28</v>
      </c>
      <c r="G341" s="38">
        <v>270</v>
      </c>
      <c r="H341" s="39">
        <f t="shared" si="14"/>
        <v>0</v>
      </c>
      <c r="I341" s="51"/>
      <c r="J341" s="52"/>
      <c r="L341" s="53"/>
      <c r="M341" s="54"/>
      <c r="N341" s="55"/>
    </row>
    <row r="342" spans="1:14" ht="16.5" customHeight="1" x14ac:dyDescent="0.2">
      <c r="A342">
        <v>312</v>
      </c>
      <c r="B342" s="33" t="s">
        <v>229</v>
      </c>
      <c r="C342" s="34"/>
      <c r="D342" s="35"/>
      <c r="E342" s="36">
        <f t="shared" si="15"/>
        <v>0</v>
      </c>
      <c r="F342" s="50" t="s">
        <v>28</v>
      </c>
      <c r="G342" s="38">
        <v>195</v>
      </c>
      <c r="H342" s="39">
        <f t="shared" si="14"/>
        <v>0</v>
      </c>
      <c r="I342" s="51"/>
      <c r="J342" s="52"/>
      <c r="L342" s="53"/>
      <c r="M342" s="54"/>
      <c r="N342" s="55"/>
    </row>
    <row r="343" spans="1:14" ht="16.5" customHeight="1" x14ac:dyDescent="0.2">
      <c r="A343">
        <v>313</v>
      </c>
      <c r="B343" s="33" t="s">
        <v>230</v>
      </c>
      <c r="C343" s="34"/>
      <c r="D343" s="35"/>
      <c r="E343" s="36">
        <f t="shared" si="15"/>
        <v>0</v>
      </c>
      <c r="F343" s="50" t="s">
        <v>28</v>
      </c>
      <c r="G343" s="38">
        <v>171</v>
      </c>
      <c r="H343" s="39">
        <f t="shared" si="14"/>
        <v>0</v>
      </c>
      <c r="I343" s="51"/>
      <c r="J343" s="52"/>
      <c r="L343" s="53"/>
      <c r="M343" s="54"/>
      <c r="N343" s="55"/>
    </row>
    <row r="344" spans="1:14" ht="16.5" customHeight="1" x14ac:dyDescent="0.2">
      <c r="A344">
        <v>314</v>
      </c>
      <c r="B344" s="33" t="s">
        <v>231</v>
      </c>
      <c r="C344" s="34"/>
      <c r="D344" s="35"/>
      <c r="E344" s="36">
        <f t="shared" si="15"/>
        <v>0</v>
      </c>
      <c r="F344" s="50" t="s">
        <v>28</v>
      </c>
      <c r="G344" s="38">
        <v>141</v>
      </c>
      <c r="H344" s="39">
        <f t="shared" si="14"/>
        <v>0</v>
      </c>
      <c r="I344" s="51"/>
      <c r="J344" s="52"/>
      <c r="L344" s="53"/>
      <c r="M344" s="54"/>
      <c r="N344" s="55"/>
    </row>
    <row r="345" spans="1:14" ht="16.5" customHeight="1" x14ac:dyDescent="0.2">
      <c r="A345">
        <v>315</v>
      </c>
      <c r="B345" s="33" t="s">
        <v>232</v>
      </c>
      <c r="C345" s="34"/>
      <c r="D345" s="35"/>
      <c r="E345" s="36">
        <f t="shared" si="15"/>
        <v>0</v>
      </c>
      <c r="F345" s="50" t="s">
        <v>28</v>
      </c>
      <c r="G345" s="38">
        <v>116</v>
      </c>
      <c r="H345" s="39">
        <f t="shared" si="14"/>
        <v>0</v>
      </c>
      <c r="I345" s="51"/>
      <c r="J345" s="52"/>
      <c r="L345" s="53"/>
      <c r="M345" s="54"/>
      <c r="N345" s="55"/>
    </row>
    <row r="346" spans="1:14" ht="16.5" customHeight="1" x14ac:dyDescent="0.2">
      <c r="A346">
        <v>316</v>
      </c>
      <c r="B346" s="33" t="s">
        <v>233</v>
      </c>
      <c r="C346" s="34"/>
      <c r="D346" s="35"/>
      <c r="E346" s="36">
        <f t="shared" si="15"/>
        <v>0</v>
      </c>
      <c r="F346" s="50" t="s">
        <v>28</v>
      </c>
      <c r="G346" s="38">
        <v>85</v>
      </c>
      <c r="H346" s="39">
        <f t="shared" si="14"/>
        <v>0</v>
      </c>
      <c r="I346" s="51"/>
      <c r="J346" s="52"/>
      <c r="L346" s="53"/>
      <c r="M346" s="54"/>
      <c r="N346" s="55"/>
    </row>
    <row r="347" spans="1:14" ht="16.5" customHeight="1" x14ac:dyDescent="0.2">
      <c r="A347">
        <v>317</v>
      </c>
      <c r="B347" s="33" t="s">
        <v>234</v>
      </c>
      <c r="C347" s="34"/>
      <c r="D347" s="35"/>
      <c r="E347" s="36">
        <f t="shared" si="15"/>
        <v>0</v>
      </c>
      <c r="F347" s="50" t="s">
        <v>28</v>
      </c>
      <c r="G347" s="38">
        <v>58</v>
      </c>
      <c r="H347" s="39">
        <f t="shared" si="14"/>
        <v>0</v>
      </c>
      <c r="I347" s="51"/>
      <c r="J347" s="52"/>
      <c r="L347" s="53"/>
      <c r="M347" s="54"/>
      <c r="N347" s="55"/>
    </row>
    <row r="348" spans="1:14" ht="16.5" customHeight="1" x14ac:dyDescent="0.2">
      <c r="A348">
        <v>318</v>
      </c>
      <c r="B348" s="33" t="s">
        <v>235</v>
      </c>
      <c r="C348" s="34"/>
      <c r="D348" s="35"/>
      <c r="E348" s="36">
        <f t="shared" si="15"/>
        <v>0</v>
      </c>
      <c r="F348" s="50" t="s">
        <v>28</v>
      </c>
      <c r="G348" s="38">
        <v>42</v>
      </c>
      <c r="H348" s="39">
        <f t="shared" si="14"/>
        <v>0</v>
      </c>
      <c r="I348" s="51"/>
      <c r="J348" s="52"/>
      <c r="L348" s="53"/>
      <c r="M348" s="54"/>
      <c r="N348" s="55"/>
    </row>
    <row r="349" spans="1:14" ht="16.5" customHeight="1" x14ac:dyDescent="0.2">
      <c r="A349">
        <v>319</v>
      </c>
      <c r="B349" s="33" t="s">
        <v>236</v>
      </c>
      <c r="C349" s="34"/>
      <c r="D349" s="35"/>
      <c r="E349" s="36">
        <f t="shared" si="15"/>
        <v>0</v>
      </c>
      <c r="F349" s="50" t="s">
        <v>28</v>
      </c>
      <c r="G349" s="38">
        <v>35</v>
      </c>
      <c r="H349" s="39">
        <f t="shared" si="14"/>
        <v>0</v>
      </c>
      <c r="I349" s="51"/>
      <c r="J349" s="52"/>
      <c r="L349" s="53"/>
      <c r="M349" s="54"/>
      <c r="N349" s="55"/>
    </row>
    <row r="350" spans="1:14" ht="16.5" customHeight="1" x14ac:dyDescent="0.2">
      <c r="A350">
        <v>320</v>
      </c>
      <c r="B350" s="33" t="s">
        <v>259</v>
      </c>
      <c r="C350" s="34"/>
      <c r="D350" s="35"/>
      <c r="E350" s="36">
        <f t="shared" si="15"/>
        <v>0</v>
      </c>
      <c r="F350" s="50" t="s">
        <v>22</v>
      </c>
      <c r="G350" s="38">
        <v>329</v>
      </c>
      <c r="H350" s="39">
        <f t="shared" si="14"/>
        <v>0</v>
      </c>
      <c r="I350" s="51"/>
      <c r="J350" s="52"/>
      <c r="L350" s="53"/>
      <c r="M350" s="54"/>
      <c r="N350" s="55"/>
    </row>
    <row r="351" spans="1:14" ht="16.5" customHeight="1" x14ac:dyDescent="0.2">
      <c r="A351">
        <v>321</v>
      </c>
      <c r="B351" s="33" t="s">
        <v>260</v>
      </c>
      <c r="C351" s="34"/>
      <c r="D351" s="35"/>
      <c r="E351" s="36">
        <f t="shared" si="15"/>
        <v>0</v>
      </c>
      <c r="F351" s="50" t="s">
        <v>22</v>
      </c>
      <c r="G351" s="38">
        <v>266</v>
      </c>
      <c r="H351" s="39">
        <f t="shared" si="14"/>
        <v>0</v>
      </c>
      <c r="I351" s="51"/>
      <c r="J351" s="52"/>
      <c r="L351" s="53"/>
      <c r="M351" s="54"/>
      <c r="N351" s="55"/>
    </row>
    <row r="352" spans="1:14" ht="16.5" customHeight="1" x14ac:dyDescent="0.2">
      <c r="A352">
        <v>322</v>
      </c>
      <c r="B352" s="33" t="s">
        <v>261</v>
      </c>
      <c r="C352" s="34"/>
      <c r="D352" s="35"/>
      <c r="E352" s="36">
        <f t="shared" si="15"/>
        <v>0</v>
      </c>
      <c r="F352" s="50" t="s">
        <v>22</v>
      </c>
      <c r="G352" s="38">
        <v>212</v>
      </c>
      <c r="H352" s="39">
        <f t="shared" si="14"/>
        <v>0</v>
      </c>
      <c r="I352" s="51"/>
      <c r="J352" s="52"/>
      <c r="L352" s="53"/>
      <c r="M352" s="54"/>
      <c r="N352" s="55"/>
    </row>
    <row r="353" spans="1:14" ht="16.5" customHeight="1" x14ac:dyDescent="0.2">
      <c r="A353">
        <v>323</v>
      </c>
      <c r="B353" s="33" t="s">
        <v>262</v>
      </c>
      <c r="C353" s="34"/>
      <c r="D353" s="35"/>
      <c r="E353" s="36">
        <f t="shared" si="15"/>
        <v>0</v>
      </c>
      <c r="F353" s="50" t="s">
        <v>22</v>
      </c>
      <c r="G353" s="38">
        <v>180</v>
      </c>
      <c r="H353" s="39">
        <f t="shared" si="14"/>
        <v>0</v>
      </c>
      <c r="I353" s="51"/>
      <c r="J353" s="52"/>
      <c r="L353" s="53"/>
      <c r="M353" s="54"/>
      <c r="N353" s="55"/>
    </row>
    <row r="354" spans="1:14" ht="16.5" customHeight="1" x14ac:dyDescent="0.2">
      <c r="A354">
        <v>324</v>
      </c>
      <c r="B354" s="33" t="s">
        <v>263</v>
      </c>
      <c r="C354" s="34"/>
      <c r="D354" s="35"/>
      <c r="E354" s="36">
        <f t="shared" si="15"/>
        <v>0</v>
      </c>
      <c r="F354" s="50" t="s">
        <v>22</v>
      </c>
      <c r="G354" s="38">
        <v>151</v>
      </c>
      <c r="H354" s="39">
        <f t="shared" si="14"/>
        <v>0</v>
      </c>
      <c r="I354" s="51"/>
      <c r="J354" s="52"/>
      <c r="L354" s="53"/>
      <c r="M354" s="54"/>
      <c r="N354" s="55"/>
    </row>
    <row r="355" spans="1:14" ht="16.5" customHeight="1" x14ac:dyDescent="0.2">
      <c r="A355">
        <v>325</v>
      </c>
      <c r="B355" s="33" t="s">
        <v>264</v>
      </c>
      <c r="C355" s="34"/>
      <c r="D355" s="35"/>
      <c r="E355" s="36">
        <f t="shared" si="15"/>
        <v>0</v>
      </c>
      <c r="F355" s="50" t="s">
        <v>22</v>
      </c>
      <c r="G355" s="38">
        <v>137</v>
      </c>
      <c r="H355" s="39">
        <f t="shared" si="14"/>
        <v>0</v>
      </c>
      <c r="I355" s="51"/>
      <c r="J355" s="52"/>
      <c r="L355" s="53"/>
      <c r="M355" s="54"/>
      <c r="N355" s="55"/>
    </row>
    <row r="356" spans="1:14" ht="16.5" customHeight="1" x14ac:dyDescent="0.2">
      <c r="A356">
        <v>326</v>
      </c>
      <c r="B356" s="33" t="s">
        <v>265</v>
      </c>
      <c r="C356" s="34"/>
      <c r="D356" s="35"/>
      <c r="E356" s="36">
        <f t="shared" si="15"/>
        <v>0</v>
      </c>
      <c r="F356" s="50" t="s">
        <v>22</v>
      </c>
      <c r="G356" s="38">
        <v>121</v>
      </c>
      <c r="H356" s="39">
        <f t="shared" si="14"/>
        <v>0</v>
      </c>
      <c r="I356" s="51"/>
      <c r="J356" s="52"/>
      <c r="L356" s="53"/>
      <c r="M356" s="54"/>
      <c r="N356" s="55"/>
    </row>
    <row r="357" spans="1:14" ht="16.5" customHeight="1" x14ac:dyDescent="0.2">
      <c r="A357">
        <v>327</v>
      </c>
      <c r="B357" s="33" t="s">
        <v>266</v>
      </c>
      <c r="C357" s="34"/>
      <c r="D357" s="35"/>
      <c r="E357" s="36">
        <f t="shared" si="15"/>
        <v>0</v>
      </c>
      <c r="F357" s="50" t="s">
        <v>22</v>
      </c>
      <c r="G357" s="38">
        <v>112</v>
      </c>
      <c r="H357" s="39">
        <f t="shared" si="14"/>
        <v>0</v>
      </c>
      <c r="I357" s="51"/>
      <c r="J357" s="52"/>
      <c r="L357" s="53"/>
      <c r="M357" s="54"/>
      <c r="N357" s="55"/>
    </row>
    <row r="358" spans="1:14" ht="16.5" customHeight="1" x14ac:dyDescent="0.2">
      <c r="A358">
        <v>328</v>
      </c>
      <c r="B358" s="33" t="s">
        <v>267</v>
      </c>
      <c r="C358" s="34"/>
      <c r="D358" s="35"/>
      <c r="E358" s="36">
        <f t="shared" si="15"/>
        <v>0</v>
      </c>
      <c r="F358" s="50" t="s">
        <v>28</v>
      </c>
      <c r="G358" s="38">
        <v>536</v>
      </c>
      <c r="H358" s="39">
        <f t="shared" si="14"/>
        <v>0</v>
      </c>
      <c r="I358" s="51"/>
      <c r="J358" s="52"/>
      <c r="L358" s="53"/>
      <c r="M358" s="54"/>
      <c r="N358" s="55"/>
    </row>
    <row r="359" spans="1:14" ht="16.5" customHeight="1" x14ac:dyDescent="0.2">
      <c r="A359">
        <v>329</v>
      </c>
      <c r="B359" s="33" t="s">
        <v>268</v>
      </c>
      <c r="C359" s="34"/>
      <c r="D359" s="35"/>
      <c r="E359" s="36">
        <f t="shared" si="15"/>
        <v>0</v>
      </c>
      <c r="F359" s="50" t="s">
        <v>28</v>
      </c>
      <c r="G359" s="38">
        <v>345</v>
      </c>
      <c r="H359" s="39">
        <f t="shared" si="14"/>
        <v>0</v>
      </c>
      <c r="I359" s="51"/>
      <c r="J359" s="52"/>
      <c r="L359" s="53"/>
      <c r="M359" s="54"/>
      <c r="N359" s="55"/>
    </row>
    <row r="360" spans="1:14" ht="16.5" customHeight="1" x14ac:dyDescent="0.2">
      <c r="A360">
        <v>330</v>
      </c>
      <c r="B360" s="33" t="s">
        <v>269</v>
      </c>
      <c r="C360" s="34"/>
      <c r="D360" s="35"/>
      <c r="E360" s="36">
        <f t="shared" si="15"/>
        <v>0</v>
      </c>
      <c r="F360" s="50" t="s">
        <v>28</v>
      </c>
      <c r="G360" s="38">
        <v>283</v>
      </c>
      <c r="H360" s="39">
        <f t="shared" si="14"/>
        <v>0</v>
      </c>
      <c r="I360" s="51"/>
      <c r="J360" s="52"/>
      <c r="L360" s="53"/>
      <c r="M360" s="54"/>
      <c r="N360" s="55"/>
    </row>
    <row r="361" spans="1:14" ht="16.5" customHeight="1" x14ac:dyDescent="0.2">
      <c r="A361">
        <v>331</v>
      </c>
      <c r="B361" s="33" t="s">
        <v>270</v>
      </c>
      <c r="C361" s="34"/>
      <c r="D361" s="35"/>
      <c r="E361" s="36">
        <f t="shared" si="15"/>
        <v>0</v>
      </c>
      <c r="F361" s="50" t="s">
        <v>28</v>
      </c>
      <c r="G361" s="38">
        <v>228</v>
      </c>
      <c r="H361" s="39">
        <f t="shared" si="14"/>
        <v>0</v>
      </c>
      <c r="I361" s="51"/>
      <c r="J361" s="52"/>
      <c r="L361" s="53"/>
      <c r="M361" s="54"/>
      <c r="N361" s="55"/>
    </row>
    <row r="362" spans="1:14" ht="16.5" customHeight="1" x14ac:dyDescent="0.2">
      <c r="A362">
        <v>332</v>
      </c>
      <c r="B362" s="33" t="s">
        <v>271</v>
      </c>
      <c r="C362" s="34"/>
      <c r="D362" s="35"/>
      <c r="E362" s="36">
        <f t="shared" si="15"/>
        <v>0</v>
      </c>
      <c r="F362" s="50" t="s">
        <v>28</v>
      </c>
      <c r="G362" s="38">
        <v>187</v>
      </c>
      <c r="H362" s="39">
        <f t="shared" si="14"/>
        <v>0</v>
      </c>
      <c r="I362" s="51"/>
      <c r="J362" s="52"/>
      <c r="L362" s="53"/>
      <c r="M362" s="54"/>
      <c r="N362" s="55"/>
    </row>
    <row r="363" spans="1:14" ht="16.5" customHeight="1" x14ac:dyDescent="0.2">
      <c r="A363">
        <v>333</v>
      </c>
      <c r="B363" s="33" t="s">
        <v>272</v>
      </c>
      <c r="C363" s="34"/>
      <c r="D363" s="35"/>
      <c r="E363" s="36">
        <f t="shared" si="15"/>
        <v>0</v>
      </c>
      <c r="F363" s="50" t="s">
        <v>28</v>
      </c>
      <c r="G363" s="38">
        <v>158</v>
      </c>
      <c r="H363" s="39">
        <f t="shared" si="14"/>
        <v>0</v>
      </c>
      <c r="I363" s="51"/>
      <c r="J363" s="52"/>
      <c r="L363" s="53"/>
      <c r="M363" s="54"/>
      <c r="N363" s="55"/>
    </row>
    <row r="364" spans="1:14" ht="16.5" customHeight="1" x14ac:dyDescent="0.2">
      <c r="A364">
        <v>334</v>
      </c>
      <c r="B364" s="33" t="s">
        <v>273</v>
      </c>
      <c r="C364" s="34"/>
      <c r="D364" s="35"/>
      <c r="E364" s="36">
        <f t="shared" si="15"/>
        <v>0</v>
      </c>
      <c r="F364" s="50" t="s">
        <v>28</v>
      </c>
      <c r="G364" s="38">
        <v>145</v>
      </c>
      <c r="H364" s="39">
        <f t="shared" si="14"/>
        <v>0</v>
      </c>
      <c r="I364" s="51"/>
      <c r="J364" s="52"/>
      <c r="L364" s="53"/>
      <c r="M364" s="54"/>
      <c r="N364" s="55"/>
    </row>
    <row r="365" spans="1:14" ht="16.5" customHeight="1" x14ac:dyDescent="0.2">
      <c r="A365">
        <v>335</v>
      </c>
      <c r="B365" s="33" t="s">
        <v>274</v>
      </c>
      <c r="C365" s="34"/>
      <c r="D365" s="35"/>
      <c r="E365" s="36">
        <f t="shared" si="15"/>
        <v>0</v>
      </c>
      <c r="F365" s="50" t="s">
        <v>28</v>
      </c>
      <c r="G365" s="38">
        <v>137</v>
      </c>
      <c r="H365" s="39">
        <f t="shared" ref="H365:H438" si="16">E365*G365</f>
        <v>0</v>
      </c>
      <c r="I365" s="51"/>
      <c r="J365" s="52"/>
      <c r="L365" s="53"/>
      <c r="M365" s="54"/>
      <c r="N365" s="55"/>
    </row>
    <row r="366" spans="1:14" ht="16.5" customHeight="1" x14ac:dyDescent="0.2">
      <c r="A366">
        <v>336</v>
      </c>
      <c r="B366" s="33" t="s">
        <v>275</v>
      </c>
      <c r="C366" s="34"/>
      <c r="D366" s="35"/>
      <c r="E366" s="36">
        <f t="shared" si="15"/>
        <v>0</v>
      </c>
      <c r="F366" s="50" t="s">
        <v>28</v>
      </c>
      <c r="G366" s="38">
        <v>690</v>
      </c>
      <c r="H366" s="39">
        <f t="shared" si="16"/>
        <v>0</v>
      </c>
      <c r="I366" s="51"/>
      <c r="J366" s="52"/>
      <c r="L366" s="53"/>
      <c r="M366" s="54"/>
      <c r="N366" s="55"/>
    </row>
    <row r="367" spans="1:14" ht="16.5" customHeight="1" x14ac:dyDescent="0.2">
      <c r="A367">
        <v>337</v>
      </c>
      <c r="B367" s="33" t="s">
        <v>276</v>
      </c>
      <c r="C367" s="34"/>
      <c r="D367" s="35"/>
      <c r="E367" s="36">
        <f t="shared" si="15"/>
        <v>0</v>
      </c>
      <c r="F367" s="50" t="s">
        <v>28</v>
      </c>
      <c r="G367" s="38">
        <v>432</v>
      </c>
      <c r="H367" s="39">
        <f t="shared" si="16"/>
        <v>0</v>
      </c>
      <c r="I367" s="51"/>
      <c r="J367" s="52"/>
      <c r="L367" s="53"/>
      <c r="M367" s="54"/>
      <c r="N367" s="55"/>
    </row>
    <row r="368" spans="1:14" ht="16.5" customHeight="1" x14ac:dyDescent="0.2">
      <c r="A368">
        <v>338</v>
      </c>
      <c r="B368" s="33" t="s">
        <v>277</v>
      </c>
      <c r="C368" s="34"/>
      <c r="D368" s="35"/>
      <c r="E368" s="36">
        <f t="shared" si="15"/>
        <v>0</v>
      </c>
      <c r="F368" s="50" t="s">
        <v>28</v>
      </c>
      <c r="G368" s="38">
        <v>345</v>
      </c>
      <c r="H368" s="39">
        <f t="shared" si="16"/>
        <v>0</v>
      </c>
      <c r="I368" s="51"/>
      <c r="J368" s="52"/>
      <c r="L368" s="53"/>
      <c r="M368" s="54"/>
      <c r="N368" s="55"/>
    </row>
    <row r="369" spans="1:14" ht="16.5" customHeight="1" x14ac:dyDescent="0.2">
      <c r="A369">
        <v>339</v>
      </c>
      <c r="B369" s="33" t="s">
        <v>278</v>
      </c>
      <c r="C369" s="34"/>
      <c r="D369" s="35"/>
      <c r="E369" s="36">
        <f t="shared" si="15"/>
        <v>0</v>
      </c>
      <c r="F369" s="50" t="s">
        <v>28</v>
      </c>
      <c r="G369" s="38">
        <v>291</v>
      </c>
      <c r="H369" s="39">
        <f t="shared" si="16"/>
        <v>0</v>
      </c>
      <c r="I369" s="51"/>
      <c r="J369" s="52"/>
      <c r="L369" s="53"/>
      <c r="M369" s="54"/>
      <c r="N369" s="55"/>
    </row>
    <row r="370" spans="1:14" ht="16.5" customHeight="1" x14ac:dyDescent="0.2">
      <c r="A370">
        <v>340</v>
      </c>
      <c r="B370" s="33" t="s">
        <v>279</v>
      </c>
      <c r="C370" s="34"/>
      <c r="D370" s="35"/>
      <c r="E370" s="36">
        <f t="shared" si="15"/>
        <v>0</v>
      </c>
      <c r="F370" s="50" t="s">
        <v>28</v>
      </c>
      <c r="G370" s="38">
        <v>254</v>
      </c>
      <c r="H370" s="39">
        <f t="shared" si="16"/>
        <v>0</v>
      </c>
      <c r="I370" s="51"/>
      <c r="J370" s="52"/>
      <c r="L370" s="53"/>
      <c r="M370" s="54"/>
      <c r="N370" s="55"/>
    </row>
    <row r="371" spans="1:14" ht="16.5" customHeight="1" x14ac:dyDescent="0.3">
      <c r="A371">
        <v>341</v>
      </c>
      <c r="B371" s="56" t="s">
        <v>280</v>
      </c>
      <c r="C371" s="34"/>
      <c r="D371" s="35"/>
      <c r="E371" s="36">
        <f t="shared" si="15"/>
        <v>0</v>
      </c>
      <c r="F371" s="50" t="s">
        <v>28</v>
      </c>
      <c r="G371" s="38">
        <v>191</v>
      </c>
      <c r="H371" s="39">
        <f t="shared" si="16"/>
        <v>0</v>
      </c>
      <c r="I371" s="51"/>
      <c r="J371" s="52"/>
      <c r="L371" s="53"/>
      <c r="M371" s="54"/>
      <c r="N371" s="55"/>
    </row>
    <row r="372" spans="1:14" ht="16.5" customHeight="1" x14ac:dyDescent="0.2">
      <c r="A372">
        <v>342</v>
      </c>
      <c r="B372" s="33" t="s">
        <v>281</v>
      </c>
      <c r="C372" s="34"/>
      <c r="D372" s="35"/>
      <c r="E372" s="36">
        <f t="shared" si="15"/>
        <v>0</v>
      </c>
      <c r="F372" s="50" t="s">
        <v>28</v>
      </c>
      <c r="G372" s="38">
        <v>133</v>
      </c>
      <c r="H372" s="39">
        <f t="shared" si="16"/>
        <v>0</v>
      </c>
      <c r="I372" s="51"/>
      <c r="J372" s="52"/>
      <c r="L372" s="53"/>
      <c r="M372" s="54"/>
      <c r="N372" s="55"/>
    </row>
    <row r="373" spans="1:14" ht="16.5" customHeight="1" x14ac:dyDescent="0.2">
      <c r="A373">
        <v>343</v>
      </c>
      <c r="B373" s="33" t="s">
        <v>282</v>
      </c>
      <c r="C373" s="34"/>
      <c r="D373" s="35"/>
      <c r="E373" s="36">
        <f t="shared" si="15"/>
        <v>0</v>
      </c>
      <c r="F373" s="50" t="s">
        <v>28</v>
      </c>
      <c r="G373" s="38">
        <v>121</v>
      </c>
      <c r="H373" s="39">
        <f t="shared" si="16"/>
        <v>0</v>
      </c>
      <c r="I373" s="51"/>
      <c r="J373" s="52"/>
      <c r="L373" s="53"/>
      <c r="M373" s="54"/>
      <c r="N373" s="55"/>
    </row>
    <row r="374" spans="1:14" ht="16.5" customHeight="1" x14ac:dyDescent="0.2">
      <c r="A374">
        <v>344</v>
      </c>
      <c r="B374" s="33" t="s">
        <v>283</v>
      </c>
      <c r="C374" s="34"/>
      <c r="D374" s="35"/>
      <c r="E374" s="36">
        <f t="shared" si="15"/>
        <v>0</v>
      </c>
      <c r="F374" s="50" t="s">
        <v>28</v>
      </c>
      <c r="G374" s="38">
        <v>829</v>
      </c>
      <c r="H374" s="39">
        <f t="shared" si="16"/>
        <v>0</v>
      </c>
      <c r="I374" s="51"/>
      <c r="J374" s="52"/>
      <c r="L374" s="53"/>
      <c r="M374" s="54"/>
      <c r="N374" s="55"/>
    </row>
    <row r="375" spans="1:14" ht="16.5" customHeight="1" x14ac:dyDescent="0.2">
      <c r="A375">
        <v>345</v>
      </c>
      <c r="B375" s="33" t="s">
        <v>284</v>
      </c>
      <c r="C375" s="34"/>
      <c r="D375" s="35"/>
      <c r="E375" s="36">
        <f t="shared" si="15"/>
        <v>0</v>
      </c>
      <c r="F375" s="50" t="s">
        <v>28</v>
      </c>
      <c r="G375" s="38">
        <v>646</v>
      </c>
      <c r="H375" s="39">
        <f t="shared" si="16"/>
        <v>0</v>
      </c>
      <c r="I375" s="51"/>
      <c r="J375" s="52"/>
      <c r="L375" s="53"/>
      <c r="M375" s="54"/>
      <c r="N375" s="55"/>
    </row>
    <row r="376" spans="1:14" ht="16.5" customHeight="1" x14ac:dyDescent="0.2">
      <c r="A376">
        <v>346</v>
      </c>
      <c r="B376" s="33" t="s">
        <v>285</v>
      </c>
      <c r="C376" s="34"/>
      <c r="D376" s="35"/>
      <c r="E376" s="36">
        <f t="shared" si="15"/>
        <v>0</v>
      </c>
      <c r="F376" s="50" t="s">
        <v>28</v>
      </c>
      <c r="G376" s="38">
        <v>407</v>
      </c>
      <c r="H376" s="39">
        <f t="shared" si="16"/>
        <v>0</v>
      </c>
      <c r="I376" s="51"/>
      <c r="J376" s="52"/>
      <c r="L376" s="53"/>
      <c r="M376" s="54"/>
      <c r="N376" s="55"/>
    </row>
    <row r="377" spans="1:14" ht="16.5" customHeight="1" x14ac:dyDescent="0.2">
      <c r="A377">
        <v>347</v>
      </c>
      <c r="B377" s="33" t="s">
        <v>286</v>
      </c>
      <c r="C377" s="34"/>
      <c r="D377" s="35"/>
      <c r="E377" s="36">
        <f t="shared" si="15"/>
        <v>0</v>
      </c>
      <c r="F377" s="50" t="s">
        <v>28</v>
      </c>
      <c r="G377" s="38">
        <v>300</v>
      </c>
      <c r="H377" s="39">
        <f t="shared" si="16"/>
        <v>0</v>
      </c>
      <c r="I377" s="51"/>
      <c r="J377" s="52"/>
      <c r="L377" s="53"/>
      <c r="M377" s="54"/>
      <c r="N377" s="55"/>
    </row>
    <row r="378" spans="1:14" ht="16.5" customHeight="1" x14ac:dyDescent="0.2">
      <c r="A378">
        <v>348</v>
      </c>
      <c r="B378" s="33" t="s">
        <v>287</v>
      </c>
      <c r="C378" s="34"/>
      <c r="D378" s="35"/>
      <c r="E378" s="36">
        <f t="shared" si="15"/>
        <v>0</v>
      </c>
      <c r="F378" s="50" t="s">
        <v>28</v>
      </c>
      <c r="G378" s="38">
        <v>245</v>
      </c>
      <c r="H378" s="39">
        <f t="shared" si="16"/>
        <v>0</v>
      </c>
      <c r="I378" s="51"/>
      <c r="J378" s="52"/>
      <c r="L378" s="53"/>
      <c r="M378" s="54"/>
      <c r="N378" s="55"/>
    </row>
    <row r="379" spans="1:14" ht="16.5" customHeight="1" x14ac:dyDescent="0.2">
      <c r="A379">
        <v>349</v>
      </c>
      <c r="B379" s="33" t="s">
        <v>288</v>
      </c>
      <c r="C379" s="34"/>
      <c r="D379" s="35"/>
      <c r="E379" s="36">
        <f t="shared" si="15"/>
        <v>0</v>
      </c>
      <c r="F379" s="50" t="s">
        <v>28</v>
      </c>
      <c r="G379" s="38">
        <v>183</v>
      </c>
      <c r="H379" s="39">
        <f t="shared" si="16"/>
        <v>0</v>
      </c>
      <c r="I379" s="51"/>
      <c r="J379" s="52"/>
      <c r="L379" s="53"/>
      <c r="M379" s="54"/>
      <c r="N379" s="55"/>
    </row>
    <row r="380" spans="1:14" ht="16.5" customHeight="1" x14ac:dyDescent="0.2">
      <c r="A380">
        <v>350</v>
      </c>
      <c r="B380" s="33" t="s">
        <v>289</v>
      </c>
      <c r="C380" s="34"/>
      <c r="D380" s="35"/>
      <c r="E380" s="36">
        <f t="shared" si="15"/>
        <v>0</v>
      </c>
      <c r="F380" s="50" t="s">
        <v>28</v>
      </c>
      <c r="G380" s="38">
        <v>133</v>
      </c>
      <c r="H380" s="39">
        <f t="shared" si="16"/>
        <v>0</v>
      </c>
      <c r="I380" s="51"/>
      <c r="J380" s="52"/>
      <c r="L380" s="53"/>
      <c r="M380" s="54"/>
      <c r="N380" s="55"/>
    </row>
    <row r="381" spans="1:14" ht="16.5" customHeight="1" x14ac:dyDescent="0.2">
      <c r="A381">
        <v>351</v>
      </c>
      <c r="B381" s="33" t="s">
        <v>290</v>
      </c>
      <c r="C381" s="34"/>
      <c r="D381" s="35"/>
      <c r="E381" s="36">
        <f t="shared" ref="E381:E421" si="17">SUM(C381:D381)</f>
        <v>0</v>
      </c>
      <c r="F381" s="50" t="s">
        <v>28</v>
      </c>
      <c r="G381" s="38">
        <v>96</v>
      </c>
      <c r="H381" s="39">
        <f t="shared" si="16"/>
        <v>0</v>
      </c>
      <c r="I381" s="51"/>
      <c r="J381" s="52"/>
      <c r="L381" s="53"/>
      <c r="M381" s="54"/>
      <c r="N381" s="55"/>
    </row>
    <row r="382" spans="1:14" ht="16.5" customHeight="1" x14ac:dyDescent="0.2">
      <c r="A382">
        <v>352</v>
      </c>
      <c r="B382" s="33" t="s">
        <v>291</v>
      </c>
      <c r="C382" s="34"/>
      <c r="D382" s="35"/>
      <c r="E382" s="36">
        <f t="shared" si="17"/>
        <v>0</v>
      </c>
      <c r="F382" s="50" t="s">
        <v>28</v>
      </c>
      <c r="G382" s="38">
        <v>2159</v>
      </c>
      <c r="H382" s="39">
        <f t="shared" si="16"/>
        <v>0</v>
      </c>
      <c r="I382" s="51"/>
      <c r="J382" s="52"/>
      <c r="L382" s="53"/>
      <c r="M382" s="54"/>
      <c r="N382" s="55"/>
    </row>
    <row r="383" spans="1:14" ht="16.5" customHeight="1" x14ac:dyDescent="0.2">
      <c r="A383">
        <v>353</v>
      </c>
      <c r="B383" s="33" t="s">
        <v>292</v>
      </c>
      <c r="C383" s="34"/>
      <c r="D383" s="35"/>
      <c r="E383" s="36">
        <f t="shared" si="17"/>
        <v>0</v>
      </c>
      <c r="F383" s="50" t="s">
        <v>28</v>
      </c>
      <c r="G383" s="38">
        <v>1441</v>
      </c>
      <c r="H383" s="39">
        <f t="shared" si="16"/>
        <v>0</v>
      </c>
      <c r="I383" s="51"/>
      <c r="J383" s="52"/>
      <c r="L383" s="53"/>
      <c r="M383" s="54"/>
      <c r="N383" s="55"/>
    </row>
    <row r="384" spans="1:14" ht="16.5" customHeight="1" x14ac:dyDescent="0.2">
      <c r="A384">
        <v>354</v>
      </c>
      <c r="B384" s="33" t="s">
        <v>293</v>
      </c>
      <c r="C384" s="34"/>
      <c r="D384" s="35"/>
      <c r="E384" s="36">
        <f t="shared" si="17"/>
        <v>0</v>
      </c>
      <c r="F384" s="50" t="s">
        <v>28</v>
      </c>
      <c r="G384" s="38">
        <v>960</v>
      </c>
      <c r="H384" s="39">
        <f t="shared" si="16"/>
        <v>0</v>
      </c>
      <c r="I384" s="51"/>
      <c r="J384" s="52"/>
      <c r="L384" s="53"/>
      <c r="M384" s="54"/>
      <c r="N384" s="55"/>
    </row>
    <row r="385" spans="1:14" ht="16.5" customHeight="1" x14ac:dyDescent="0.2">
      <c r="A385">
        <v>355</v>
      </c>
      <c r="B385" s="33" t="s">
        <v>294</v>
      </c>
      <c r="C385" s="34"/>
      <c r="D385" s="35"/>
      <c r="E385" s="36">
        <f t="shared" si="17"/>
        <v>0</v>
      </c>
      <c r="F385" s="50" t="s">
        <v>28</v>
      </c>
      <c r="G385" s="38">
        <v>641</v>
      </c>
      <c r="H385" s="39">
        <f t="shared" si="16"/>
        <v>0</v>
      </c>
      <c r="I385" s="51"/>
      <c r="J385" s="52"/>
      <c r="L385" s="53"/>
      <c r="M385" s="54"/>
      <c r="N385" s="55"/>
    </row>
    <row r="386" spans="1:14" ht="16.5" customHeight="1" x14ac:dyDescent="0.2">
      <c r="A386">
        <v>356</v>
      </c>
      <c r="B386" s="33" t="s">
        <v>295</v>
      </c>
      <c r="C386" s="34"/>
      <c r="D386" s="35"/>
      <c r="E386" s="36">
        <f t="shared" si="17"/>
        <v>0</v>
      </c>
      <c r="F386" s="50" t="s">
        <v>28</v>
      </c>
      <c r="G386" s="38">
        <v>504</v>
      </c>
      <c r="H386" s="39">
        <f t="shared" si="16"/>
        <v>0</v>
      </c>
      <c r="I386" s="51"/>
      <c r="J386" s="52"/>
      <c r="L386" s="53"/>
      <c r="M386" s="54"/>
      <c r="N386" s="55"/>
    </row>
    <row r="387" spans="1:14" ht="16.5" customHeight="1" x14ac:dyDescent="0.2">
      <c r="A387">
        <v>357</v>
      </c>
      <c r="B387" s="33" t="s">
        <v>296</v>
      </c>
      <c r="C387" s="34"/>
      <c r="D387" s="35"/>
      <c r="E387" s="36">
        <f t="shared" si="17"/>
        <v>0</v>
      </c>
      <c r="F387" s="50" t="s">
        <v>28</v>
      </c>
      <c r="G387" s="38">
        <v>1595</v>
      </c>
      <c r="H387" s="39">
        <f t="shared" si="16"/>
        <v>0</v>
      </c>
      <c r="I387" s="51"/>
      <c r="J387" s="52"/>
      <c r="L387" s="53"/>
      <c r="M387" s="54"/>
      <c r="N387" s="55"/>
    </row>
    <row r="388" spans="1:14" ht="16.5" customHeight="1" x14ac:dyDescent="0.2">
      <c r="A388">
        <v>358</v>
      </c>
      <c r="B388" s="33" t="s">
        <v>297</v>
      </c>
      <c r="C388" s="34"/>
      <c r="D388" s="35"/>
      <c r="E388" s="36">
        <f t="shared" si="17"/>
        <v>0</v>
      </c>
      <c r="F388" s="50" t="s">
        <v>28</v>
      </c>
      <c r="G388" s="38">
        <v>1307</v>
      </c>
      <c r="H388" s="39">
        <f t="shared" si="16"/>
        <v>0</v>
      </c>
      <c r="I388" s="51"/>
      <c r="J388" s="52"/>
      <c r="L388" s="53"/>
      <c r="M388" s="54"/>
      <c r="N388" s="55"/>
    </row>
    <row r="389" spans="1:14" ht="16.5" customHeight="1" x14ac:dyDescent="0.2">
      <c r="A389">
        <v>359</v>
      </c>
      <c r="B389" s="33" t="s">
        <v>298</v>
      </c>
      <c r="C389" s="34"/>
      <c r="D389" s="35"/>
      <c r="E389" s="36">
        <f t="shared" si="17"/>
        <v>0</v>
      </c>
      <c r="F389" s="50" t="s">
        <v>28</v>
      </c>
      <c r="G389" s="38">
        <v>1115</v>
      </c>
      <c r="H389" s="39">
        <f t="shared" si="16"/>
        <v>0</v>
      </c>
      <c r="I389" s="51"/>
      <c r="J389" s="52"/>
      <c r="L389" s="53"/>
      <c r="M389" s="54"/>
      <c r="N389" s="55"/>
    </row>
    <row r="390" spans="1:14" ht="16.5" customHeight="1" x14ac:dyDescent="0.2">
      <c r="A390">
        <v>360</v>
      </c>
      <c r="B390" s="33" t="s">
        <v>299</v>
      </c>
      <c r="C390" s="34"/>
      <c r="D390" s="35"/>
      <c r="E390" s="36">
        <f t="shared" si="17"/>
        <v>0</v>
      </c>
      <c r="F390" s="50" t="s">
        <v>28</v>
      </c>
      <c r="G390" s="38">
        <v>13680</v>
      </c>
      <c r="H390" s="39">
        <f t="shared" si="16"/>
        <v>0</v>
      </c>
      <c r="I390" s="51"/>
      <c r="J390" s="52"/>
      <c r="L390" s="53"/>
      <c r="M390" s="54"/>
      <c r="N390" s="55"/>
    </row>
    <row r="391" spans="1:14" ht="16.5" customHeight="1" x14ac:dyDescent="0.2">
      <c r="A391">
        <v>361</v>
      </c>
      <c r="B391" s="33" t="s">
        <v>300</v>
      </c>
      <c r="C391" s="34"/>
      <c r="D391" s="35"/>
      <c r="E391" s="36">
        <f t="shared" si="17"/>
        <v>0</v>
      </c>
      <c r="F391" s="50" t="s">
        <v>28</v>
      </c>
      <c r="G391" s="38">
        <v>11002</v>
      </c>
      <c r="H391" s="39">
        <f t="shared" si="16"/>
        <v>0</v>
      </c>
      <c r="I391" s="51"/>
      <c r="J391" s="52"/>
      <c r="L391" s="53"/>
      <c r="M391" s="54"/>
      <c r="N391" s="55"/>
    </row>
    <row r="392" spans="1:14" ht="16.5" customHeight="1" x14ac:dyDescent="0.2">
      <c r="A392">
        <v>362</v>
      </c>
      <c r="B392" s="33" t="s">
        <v>301</v>
      </c>
      <c r="C392" s="34"/>
      <c r="D392" s="35"/>
      <c r="E392" s="36">
        <f t="shared" si="17"/>
        <v>0</v>
      </c>
      <c r="F392" s="50" t="s">
        <v>28</v>
      </c>
      <c r="G392" s="38">
        <v>3834</v>
      </c>
      <c r="H392" s="39">
        <f t="shared" si="16"/>
        <v>0</v>
      </c>
      <c r="I392" s="51"/>
      <c r="J392" s="52"/>
      <c r="L392" s="53"/>
      <c r="M392" s="54"/>
      <c r="N392" s="55"/>
    </row>
    <row r="393" spans="1:14" ht="16.5" customHeight="1" x14ac:dyDescent="0.2">
      <c r="A393">
        <v>363</v>
      </c>
      <c r="B393" s="33" t="s">
        <v>302</v>
      </c>
      <c r="C393" s="34"/>
      <c r="D393" s="35"/>
      <c r="E393" s="36">
        <f t="shared" si="17"/>
        <v>0</v>
      </c>
      <c r="F393" s="50" t="s">
        <v>28</v>
      </c>
      <c r="G393" s="38">
        <v>3477</v>
      </c>
      <c r="H393" s="39">
        <f t="shared" si="16"/>
        <v>0</v>
      </c>
      <c r="I393" s="51"/>
      <c r="J393" s="52"/>
      <c r="L393" s="53"/>
      <c r="M393" s="54"/>
      <c r="N393" s="55"/>
    </row>
    <row r="394" spans="1:14" ht="16.5" customHeight="1" x14ac:dyDescent="0.2">
      <c r="A394">
        <v>364</v>
      </c>
      <c r="B394" s="33" t="s">
        <v>303</v>
      </c>
      <c r="C394" s="34"/>
      <c r="D394" s="35"/>
      <c r="E394" s="36">
        <f t="shared" si="17"/>
        <v>0</v>
      </c>
      <c r="F394" s="50" t="s">
        <v>28</v>
      </c>
      <c r="G394" s="38">
        <v>3274</v>
      </c>
      <c r="H394" s="39">
        <f t="shared" si="16"/>
        <v>0</v>
      </c>
      <c r="I394" s="51"/>
      <c r="J394" s="52"/>
      <c r="L394" s="53"/>
      <c r="M394" s="54"/>
      <c r="N394" s="55"/>
    </row>
    <row r="395" spans="1:14" ht="16.5" customHeight="1" x14ac:dyDescent="0.2">
      <c r="A395">
        <v>365</v>
      </c>
      <c r="B395" s="33" t="s">
        <v>304</v>
      </c>
      <c r="C395" s="34"/>
      <c r="D395" s="35"/>
      <c r="E395" s="36">
        <f t="shared" si="17"/>
        <v>0</v>
      </c>
      <c r="F395" s="50" t="s">
        <v>28</v>
      </c>
      <c r="G395" s="38">
        <v>2569</v>
      </c>
      <c r="H395" s="39">
        <f t="shared" si="16"/>
        <v>0</v>
      </c>
      <c r="I395" s="51"/>
      <c r="J395" s="52"/>
      <c r="L395" s="53"/>
      <c r="M395" s="54"/>
      <c r="N395" s="55"/>
    </row>
    <row r="396" spans="1:14" ht="16.5" customHeight="1" x14ac:dyDescent="0.2">
      <c r="A396">
        <v>366</v>
      </c>
      <c r="B396" s="33" t="s">
        <v>305</v>
      </c>
      <c r="C396" s="34"/>
      <c r="D396" s="35"/>
      <c r="E396" s="36">
        <f t="shared" si="17"/>
        <v>0</v>
      </c>
      <c r="F396" s="50" t="s">
        <v>28</v>
      </c>
      <c r="G396" s="38">
        <v>2164</v>
      </c>
      <c r="H396" s="39">
        <f t="shared" si="16"/>
        <v>0</v>
      </c>
      <c r="I396" s="51"/>
      <c r="J396" s="52"/>
      <c r="L396" s="53"/>
      <c r="M396" s="54"/>
      <c r="N396" s="55"/>
    </row>
    <row r="397" spans="1:14" ht="16.5" customHeight="1" x14ac:dyDescent="0.2">
      <c r="A397">
        <v>367</v>
      </c>
      <c r="B397" s="33" t="s">
        <v>306</v>
      </c>
      <c r="C397" s="34"/>
      <c r="D397" s="35"/>
      <c r="E397" s="36">
        <f t="shared" si="17"/>
        <v>0</v>
      </c>
      <c r="F397" s="50" t="s">
        <v>28</v>
      </c>
      <c r="G397" s="38">
        <v>407</v>
      </c>
      <c r="H397" s="39">
        <f t="shared" si="16"/>
        <v>0</v>
      </c>
      <c r="I397" s="51"/>
      <c r="J397" s="52"/>
      <c r="L397" s="53"/>
      <c r="M397" s="54"/>
      <c r="N397" s="55"/>
    </row>
    <row r="398" spans="1:14" ht="16.5" customHeight="1" x14ac:dyDescent="0.2">
      <c r="A398">
        <v>368</v>
      </c>
      <c r="B398" s="33" t="s">
        <v>307</v>
      </c>
      <c r="C398" s="34"/>
      <c r="D398" s="35"/>
      <c r="E398" s="36">
        <f t="shared" si="17"/>
        <v>0</v>
      </c>
      <c r="F398" s="50" t="s">
        <v>28</v>
      </c>
      <c r="G398" s="38">
        <v>299</v>
      </c>
      <c r="H398" s="39">
        <f t="shared" si="16"/>
        <v>0</v>
      </c>
      <c r="I398" s="51"/>
      <c r="J398" s="52"/>
      <c r="L398" s="53"/>
      <c r="M398" s="54"/>
      <c r="N398" s="55"/>
    </row>
    <row r="399" spans="1:14" ht="16.5" customHeight="1" x14ac:dyDescent="0.2">
      <c r="A399">
        <v>369</v>
      </c>
      <c r="B399" s="33" t="s">
        <v>308</v>
      </c>
      <c r="C399" s="34"/>
      <c r="D399" s="35"/>
      <c r="E399" s="36">
        <f t="shared" si="17"/>
        <v>0</v>
      </c>
      <c r="F399" s="50" t="s">
        <v>28</v>
      </c>
      <c r="G399" s="38">
        <v>247</v>
      </c>
      <c r="H399" s="39">
        <f t="shared" si="16"/>
        <v>0</v>
      </c>
      <c r="I399" s="51"/>
      <c r="J399" s="52"/>
      <c r="L399" s="53"/>
      <c r="M399" s="54"/>
      <c r="N399" s="55"/>
    </row>
    <row r="400" spans="1:14" ht="16.5" customHeight="1" x14ac:dyDescent="0.2">
      <c r="A400">
        <v>370</v>
      </c>
      <c r="B400" s="33" t="s">
        <v>309</v>
      </c>
      <c r="C400" s="34"/>
      <c r="D400" s="35"/>
      <c r="E400" s="36">
        <f t="shared" si="17"/>
        <v>0</v>
      </c>
      <c r="F400" s="50" t="s">
        <v>28</v>
      </c>
      <c r="G400" s="38">
        <v>173</v>
      </c>
      <c r="H400" s="39">
        <f t="shared" si="16"/>
        <v>0</v>
      </c>
      <c r="I400" s="51"/>
      <c r="J400" s="52"/>
      <c r="L400" s="53"/>
      <c r="M400" s="54"/>
      <c r="N400" s="55"/>
    </row>
    <row r="401" spans="1:14" ht="16.5" customHeight="1" x14ac:dyDescent="0.2">
      <c r="A401">
        <v>371</v>
      </c>
      <c r="B401" s="33" t="s">
        <v>310</v>
      </c>
      <c r="C401" s="34"/>
      <c r="D401" s="35"/>
      <c r="E401" s="36">
        <f t="shared" si="17"/>
        <v>0</v>
      </c>
      <c r="F401" s="50" t="s">
        <v>28</v>
      </c>
      <c r="G401" s="38">
        <v>136</v>
      </c>
      <c r="H401" s="39">
        <f t="shared" si="16"/>
        <v>0</v>
      </c>
      <c r="I401" s="51"/>
      <c r="J401" s="52"/>
      <c r="L401" s="53"/>
      <c r="M401" s="54"/>
      <c r="N401" s="55"/>
    </row>
    <row r="402" spans="1:14" ht="16.5" customHeight="1" x14ac:dyDescent="0.2">
      <c r="A402">
        <v>372</v>
      </c>
      <c r="B402" s="33" t="s">
        <v>311</v>
      </c>
      <c r="C402" s="34"/>
      <c r="D402" s="35"/>
      <c r="E402" s="36">
        <f t="shared" si="17"/>
        <v>0</v>
      </c>
      <c r="F402" s="50" t="s">
        <v>28</v>
      </c>
      <c r="G402" s="38">
        <v>118</v>
      </c>
      <c r="H402" s="39">
        <f t="shared" si="16"/>
        <v>0</v>
      </c>
      <c r="I402" s="51"/>
      <c r="J402" s="52"/>
      <c r="L402" s="53"/>
      <c r="M402" s="54"/>
      <c r="N402" s="55"/>
    </row>
    <row r="403" spans="1:14" ht="16.5" customHeight="1" x14ac:dyDescent="0.2">
      <c r="A403">
        <v>373</v>
      </c>
      <c r="B403" s="33" t="s">
        <v>312</v>
      </c>
      <c r="C403" s="34"/>
      <c r="D403" s="35"/>
      <c r="E403" s="36">
        <f t="shared" si="17"/>
        <v>0</v>
      </c>
      <c r="F403" s="50" t="s">
        <v>28</v>
      </c>
      <c r="G403" s="38">
        <v>970</v>
      </c>
      <c r="H403" s="39">
        <f t="shared" si="16"/>
        <v>0</v>
      </c>
      <c r="I403" s="51"/>
      <c r="J403" s="52"/>
      <c r="L403" s="53"/>
      <c r="M403" s="54"/>
      <c r="N403" s="55"/>
    </row>
    <row r="404" spans="1:14" ht="16.5" customHeight="1" x14ac:dyDescent="0.2">
      <c r="A404">
        <v>374</v>
      </c>
      <c r="B404" s="33" t="s">
        <v>313</v>
      </c>
      <c r="C404" s="34"/>
      <c r="D404" s="35"/>
      <c r="E404" s="36">
        <f t="shared" si="17"/>
        <v>0</v>
      </c>
      <c r="F404" s="50" t="s">
        <v>28</v>
      </c>
      <c r="G404" s="38">
        <v>900</v>
      </c>
      <c r="H404" s="39">
        <f t="shared" si="16"/>
        <v>0</v>
      </c>
      <c r="I404" s="51"/>
      <c r="J404" s="52"/>
      <c r="L404" s="53"/>
      <c r="M404" s="54"/>
      <c r="N404" s="55"/>
    </row>
    <row r="405" spans="1:14" ht="16.5" customHeight="1" x14ac:dyDescent="0.2">
      <c r="A405">
        <v>375</v>
      </c>
      <c r="B405" s="33" t="s">
        <v>314</v>
      </c>
      <c r="C405" s="34"/>
      <c r="D405" s="35"/>
      <c r="E405" s="36">
        <f t="shared" si="17"/>
        <v>0</v>
      </c>
      <c r="F405" s="50" t="s">
        <v>28</v>
      </c>
      <c r="G405" s="38">
        <v>832</v>
      </c>
      <c r="H405" s="39">
        <f t="shared" si="16"/>
        <v>0</v>
      </c>
      <c r="I405" s="51"/>
      <c r="J405" s="52"/>
      <c r="L405" s="53"/>
      <c r="M405" s="54"/>
      <c r="N405" s="55"/>
    </row>
    <row r="406" spans="1:14" ht="16.5" customHeight="1" x14ac:dyDescent="0.2">
      <c r="A406">
        <v>376</v>
      </c>
      <c r="B406" s="33" t="s">
        <v>315</v>
      </c>
      <c r="C406" s="34"/>
      <c r="D406" s="35"/>
      <c r="E406" s="36">
        <f t="shared" si="17"/>
        <v>0</v>
      </c>
      <c r="F406" s="50" t="s">
        <v>28</v>
      </c>
      <c r="G406" s="38">
        <v>486</v>
      </c>
      <c r="H406" s="39">
        <f t="shared" si="16"/>
        <v>0</v>
      </c>
      <c r="I406" s="51"/>
      <c r="J406" s="52"/>
      <c r="L406" s="53"/>
      <c r="M406" s="54"/>
      <c r="N406" s="55"/>
    </row>
    <row r="407" spans="1:14" ht="16.5" customHeight="1" x14ac:dyDescent="0.2">
      <c r="A407">
        <v>377</v>
      </c>
      <c r="B407" s="33" t="s">
        <v>316</v>
      </c>
      <c r="C407" s="34"/>
      <c r="D407" s="35"/>
      <c r="E407" s="36">
        <f t="shared" si="17"/>
        <v>0</v>
      </c>
      <c r="F407" s="50" t="s">
        <v>28</v>
      </c>
      <c r="G407" s="38">
        <v>426</v>
      </c>
      <c r="H407" s="39">
        <f t="shared" si="16"/>
        <v>0</v>
      </c>
      <c r="I407" s="51"/>
      <c r="J407" s="52"/>
      <c r="L407" s="53"/>
      <c r="M407" s="54"/>
      <c r="N407" s="55"/>
    </row>
    <row r="408" spans="1:14" ht="16.5" customHeight="1" x14ac:dyDescent="0.2">
      <c r="A408">
        <v>378</v>
      </c>
      <c r="B408" s="33" t="s">
        <v>317</v>
      </c>
      <c r="C408" s="34"/>
      <c r="D408" s="35"/>
      <c r="E408" s="36">
        <f t="shared" si="17"/>
        <v>0</v>
      </c>
      <c r="F408" s="50" t="s">
        <v>28</v>
      </c>
      <c r="G408" s="38">
        <v>363</v>
      </c>
      <c r="H408" s="39">
        <f t="shared" si="16"/>
        <v>0</v>
      </c>
      <c r="I408" s="51"/>
      <c r="J408" s="52"/>
      <c r="L408" s="53"/>
      <c r="M408" s="54"/>
      <c r="N408" s="55"/>
    </row>
    <row r="409" spans="1:14" ht="16.5" customHeight="1" x14ac:dyDescent="0.2">
      <c r="A409">
        <v>379</v>
      </c>
      <c r="B409" s="33" t="s">
        <v>318</v>
      </c>
      <c r="C409" s="34"/>
      <c r="D409" s="35"/>
      <c r="E409" s="36">
        <f t="shared" si="17"/>
        <v>0</v>
      </c>
      <c r="F409" s="50" t="s">
        <v>28</v>
      </c>
      <c r="G409" s="38">
        <v>141</v>
      </c>
      <c r="H409" s="39">
        <f t="shared" si="16"/>
        <v>0</v>
      </c>
      <c r="I409" s="51"/>
      <c r="J409" s="52"/>
      <c r="L409" s="53"/>
      <c r="M409" s="54"/>
      <c r="N409" s="55"/>
    </row>
    <row r="410" spans="1:14" ht="16.5" customHeight="1" x14ac:dyDescent="0.2">
      <c r="A410">
        <v>380</v>
      </c>
      <c r="B410" s="33" t="s">
        <v>319</v>
      </c>
      <c r="C410" s="34"/>
      <c r="D410" s="35"/>
      <c r="E410" s="36">
        <f t="shared" si="17"/>
        <v>0</v>
      </c>
      <c r="F410" s="50" t="s">
        <v>28</v>
      </c>
      <c r="G410" s="38">
        <v>754</v>
      </c>
      <c r="H410" s="39">
        <f t="shared" si="16"/>
        <v>0</v>
      </c>
      <c r="I410" s="51"/>
      <c r="J410" s="52"/>
      <c r="L410" s="53"/>
      <c r="M410" s="54"/>
      <c r="N410" s="55"/>
    </row>
    <row r="411" spans="1:14" ht="15.75" customHeight="1" x14ac:dyDescent="0.2">
      <c r="A411">
        <v>278</v>
      </c>
      <c r="B411" s="33" t="s">
        <v>247</v>
      </c>
      <c r="C411" s="34"/>
      <c r="D411" s="35"/>
      <c r="E411" s="36">
        <f t="shared" si="17"/>
        <v>0</v>
      </c>
      <c r="F411" s="50" t="s">
        <v>28</v>
      </c>
      <c r="G411" s="38">
        <v>173</v>
      </c>
      <c r="H411" s="39">
        <f t="shared" si="16"/>
        <v>0</v>
      </c>
      <c r="I411" s="51"/>
      <c r="J411" s="52"/>
      <c r="L411" s="53"/>
      <c r="M411" s="54"/>
      <c r="N411" s="55"/>
    </row>
    <row r="412" spans="1:14" ht="15.75" customHeight="1" x14ac:dyDescent="0.2">
      <c r="A412">
        <v>278</v>
      </c>
      <c r="B412" s="33" t="s">
        <v>248</v>
      </c>
      <c r="C412" s="34"/>
      <c r="D412" s="35"/>
      <c r="E412" s="36">
        <f t="shared" si="17"/>
        <v>0</v>
      </c>
      <c r="F412" s="50" t="s">
        <v>28</v>
      </c>
      <c r="G412" s="38">
        <v>146</v>
      </c>
      <c r="H412" s="39">
        <f t="shared" si="16"/>
        <v>0</v>
      </c>
      <c r="I412" s="51"/>
      <c r="J412" s="52"/>
      <c r="L412" s="53"/>
      <c r="M412" s="54"/>
      <c r="N412" s="55"/>
    </row>
    <row r="413" spans="1:14" ht="15.75" customHeight="1" x14ac:dyDescent="0.2">
      <c r="A413">
        <v>279</v>
      </c>
      <c r="B413" s="33" t="s">
        <v>249</v>
      </c>
      <c r="C413" s="34"/>
      <c r="D413" s="35"/>
      <c r="E413" s="36">
        <f t="shared" si="17"/>
        <v>0</v>
      </c>
      <c r="F413" s="50" t="s">
        <v>28</v>
      </c>
      <c r="G413" s="38">
        <v>104</v>
      </c>
      <c r="H413" s="39">
        <f t="shared" si="16"/>
        <v>0</v>
      </c>
      <c r="I413" s="51"/>
      <c r="J413" s="52"/>
      <c r="L413" s="53"/>
      <c r="M413" s="54"/>
      <c r="N413" s="55"/>
    </row>
    <row r="414" spans="1:14" ht="15.75" customHeight="1" x14ac:dyDescent="0.2">
      <c r="A414">
        <v>280</v>
      </c>
      <c r="B414" s="33" t="s">
        <v>250</v>
      </c>
      <c r="C414" s="34"/>
      <c r="D414" s="35"/>
      <c r="E414" s="36">
        <f t="shared" si="17"/>
        <v>0</v>
      </c>
      <c r="F414" s="50" t="s">
        <v>28</v>
      </c>
      <c r="G414" s="38">
        <v>76</v>
      </c>
      <c r="H414" s="39">
        <f t="shared" si="16"/>
        <v>0</v>
      </c>
      <c r="I414" s="51"/>
      <c r="J414" s="52"/>
      <c r="L414" s="53"/>
      <c r="M414" s="54"/>
      <c r="N414" s="55"/>
    </row>
    <row r="415" spans="1:14" ht="15.75" customHeight="1" x14ac:dyDescent="0.2">
      <c r="A415">
        <v>281</v>
      </c>
      <c r="B415" s="33" t="s">
        <v>251</v>
      </c>
      <c r="C415" s="34"/>
      <c r="D415" s="35"/>
      <c r="E415" s="36">
        <f t="shared" si="17"/>
        <v>0</v>
      </c>
      <c r="F415" s="50" t="s">
        <v>28</v>
      </c>
      <c r="G415" s="38">
        <v>76</v>
      </c>
      <c r="H415" s="39">
        <f t="shared" si="16"/>
        <v>0</v>
      </c>
      <c r="I415" s="51"/>
      <c r="J415" s="52"/>
      <c r="L415" s="53"/>
      <c r="M415" s="54"/>
      <c r="N415" s="55"/>
    </row>
    <row r="416" spans="1:14" ht="15.75" customHeight="1" x14ac:dyDescent="0.2">
      <c r="A416">
        <v>282</v>
      </c>
      <c r="B416" s="33" t="s">
        <v>252</v>
      </c>
      <c r="C416" s="34"/>
      <c r="D416" s="35"/>
      <c r="E416" s="36">
        <f t="shared" si="17"/>
        <v>0</v>
      </c>
      <c r="F416" s="50" t="s">
        <v>28</v>
      </c>
      <c r="G416" s="38">
        <v>53</v>
      </c>
      <c r="H416" s="39">
        <f t="shared" si="16"/>
        <v>0</v>
      </c>
      <c r="I416" s="51"/>
      <c r="J416" s="52"/>
      <c r="L416" s="53"/>
      <c r="M416" s="54"/>
      <c r="N416" s="55"/>
    </row>
    <row r="417" spans="1:14" ht="15.75" customHeight="1" x14ac:dyDescent="0.2">
      <c r="A417">
        <v>283</v>
      </c>
      <c r="B417" s="33" t="s">
        <v>320</v>
      </c>
      <c r="C417" s="34"/>
      <c r="D417" s="35"/>
      <c r="E417" s="36">
        <f t="shared" si="17"/>
        <v>0</v>
      </c>
      <c r="F417" s="50" t="s">
        <v>28</v>
      </c>
      <c r="G417" s="38">
        <v>53</v>
      </c>
      <c r="H417" s="39">
        <f t="shared" si="16"/>
        <v>0</v>
      </c>
      <c r="I417" s="51"/>
      <c r="J417" s="52"/>
      <c r="L417" s="53"/>
      <c r="M417" s="54"/>
      <c r="N417" s="55"/>
    </row>
    <row r="418" spans="1:14" ht="15.75" customHeight="1" x14ac:dyDescent="0.2">
      <c r="A418">
        <v>284</v>
      </c>
      <c r="B418" s="33" t="s">
        <v>254</v>
      </c>
      <c r="C418" s="34"/>
      <c r="D418" s="35"/>
      <c r="E418" s="36">
        <f t="shared" si="17"/>
        <v>0</v>
      </c>
      <c r="F418" s="50" t="s">
        <v>28</v>
      </c>
      <c r="G418" s="38">
        <v>53</v>
      </c>
      <c r="H418" s="39">
        <f t="shared" si="16"/>
        <v>0</v>
      </c>
      <c r="I418" s="51"/>
      <c r="J418" s="52"/>
      <c r="L418" s="53"/>
      <c r="M418" s="54"/>
      <c r="N418" s="55"/>
    </row>
    <row r="419" spans="1:14" ht="15.75" customHeight="1" x14ac:dyDescent="0.2">
      <c r="A419">
        <v>285</v>
      </c>
      <c r="B419" s="33" t="s">
        <v>255</v>
      </c>
      <c r="C419" s="34"/>
      <c r="D419" s="35"/>
      <c r="E419" s="36">
        <f t="shared" si="17"/>
        <v>0</v>
      </c>
      <c r="F419" s="50" t="s">
        <v>28</v>
      </c>
      <c r="G419" s="38">
        <v>41</v>
      </c>
      <c r="H419" s="39">
        <f t="shared" si="16"/>
        <v>0</v>
      </c>
      <c r="I419" s="51"/>
      <c r="J419" s="52"/>
      <c r="L419" s="53"/>
      <c r="M419" s="54"/>
      <c r="N419" s="55"/>
    </row>
    <row r="420" spans="1:14" ht="15.75" customHeight="1" x14ac:dyDescent="0.2">
      <c r="A420">
        <v>286</v>
      </c>
      <c r="B420" s="33" t="s">
        <v>256</v>
      </c>
      <c r="C420" s="34"/>
      <c r="D420" s="35"/>
      <c r="E420" s="36">
        <f t="shared" si="17"/>
        <v>0</v>
      </c>
      <c r="F420" s="50" t="s">
        <v>28</v>
      </c>
      <c r="G420" s="38">
        <v>41</v>
      </c>
      <c r="H420" s="39">
        <f t="shared" si="16"/>
        <v>0</v>
      </c>
      <c r="I420" s="51"/>
      <c r="J420" s="52"/>
      <c r="L420" s="53"/>
      <c r="M420" s="54"/>
      <c r="N420" s="55"/>
    </row>
    <row r="421" spans="1:14" ht="15.75" customHeight="1" x14ac:dyDescent="0.2">
      <c r="A421">
        <v>287</v>
      </c>
      <c r="B421" s="33" t="s">
        <v>257</v>
      </c>
      <c r="C421" s="34"/>
      <c r="D421" s="35"/>
      <c r="E421" s="36">
        <f t="shared" si="17"/>
        <v>0</v>
      </c>
      <c r="F421" s="50" t="s">
        <v>28</v>
      </c>
      <c r="G421" s="38">
        <v>41</v>
      </c>
      <c r="H421" s="39">
        <f t="shared" si="16"/>
        <v>0</v>
      </c>
      <c r="I421" s="51"/>
      <c r="J421" s="52"/>
      <c r="L421" s="53"/>
      <c r="M421" s="54"/>
      <c r="N421" s="55"/>
    </row>
    <row r="422" spans="1:14" ht="16.5" customHeight="1" x14ac:dyDescent="0.2">
      <c r="A422">
        <v>382</v>
      </c>
      <c r="B422" s="33"/>
      <c r="C422" s="34"/>
      <c r="D422" s="35"/>
      <c r="E422" s="36"/>
      <c r="F422" s="50"/>
      <c r="G422" s="38"/>
      <c r="H422" s="39">
        <f t="shared" si="16"/>
        <v>0</v>
      </c>
      <c r="I422" s="51"/>
      <c r="J422" s="51"/>
    </row>
    <row r="423" spans="1:14" s="19" customFormat="1" ht="33.75" customHeight="1" x14ac:dyDescent="0.3">
      <c r="A423" s="19">
        <v>383</v>
      </c>
      <c r="B423" s="87" t="s">
        <v>321</v>
      </c>
      <c r="C423" s="21"/>
      <c r="D423" s="22"/>
      <c r="E423" s="48"/>
      <c r="F423" s="63"/>
      <c r="G423" s="31"/>
      <c r="H423" s="49">
        <f t="shared" si="16"/>
        <v>0</v>
      </c>
      <c r="I423" s="51"/>
      <c r="J423" s="51"/>
    </row>
    <row r="424" spans="1:14" ht="15.75" customHeight="1" x14ac:dyDescent="0.2">
      <c r="A424">
        <v>384</v>
      </c>
      <c r="B424" s="33" t="s">
        <v>206</v>
      </c>
      <c r="C424" s="34"/>
      <c r="D424" s="35"/>
      <c r="E424" s="36">
        <f t="shared" ref="E424:E487" si="18">SUM(C424:D424)</f>
        <v>0</v>
      </c>
      <c r="F424" s="50" t="s">
        <v>22</v>
      </c>
      <c r="G424" s="38">
        <v>403</v>
      </c>
      <c r="H424" s="39">
        <f t="shared" si="16"/>
        <v>0</v>
      </c>
      <c r="I424" s="51"/>
      <c r="J424" s="52"/>
      <c r="L424" s="53"/>
      <c r="M424" s="54"/>
    </row>
    <row r="425" spans="1:14" ht="15.75" customHeight="1" x14ac:dyDescent="0.2">
      <c r="A425">
        <v>385</v>
      </c>
      <c r="B425" s="33" t="s">
        <v>207</v>
      </c>
      <c r="C425" s="34"/>
      <c r="D425" s="35"/>
      <c r="E425" s="36">
        <f t="shared" si="18"/>
        <v>0</v>
      </c>
      <c r="F425" s="50" t="s">
        <v>22</v>
      </c>
      <c r="G425" s="38">
        <v>336</v>
      </c>
      <c r="H425" s="39">
        <f t="shared" si="16"/>
        <v>0</v>
      </c>
      <c r="I425" s="51"/>
      <c r="J425" s="52"/>
      <c r="L425" s="53"/>
      <c r="M425" s="54"/>
    </row>
    <row r="426" spans="1:14" ht="15.75" customHeight="1" x14ac:dyDescent="0.2">
      <c r="A426">
        <v>386</v>
      </c>
      <c r="B426" s="33" t="s">
        <v>208</v>
      </c>
      <c r="C426" s="34"/>
      <c r="D426" s="35"/>
      <c r="E426" s="36">
        <f t="shared" si="18"/>
        <v>0</v>
      </c>
      <c r="F426" s="50" t="s">
        <v>22</v>
      </c>
      <c r="G426" s="38">
        <v>245</v>
      </c>
      <c r="H426" s="39">
        <f t="shared" si="16"/>
        <v>0</v>
      </c>
      <c r="I426" s="51"/>
      <c r="J426" s="52"/>
      <c r="L426" s="53"/>
      <c r="M426" s="54"/>
    </row>
    <row r="427" spans="1:14" ht="15.75" customHeight="1" x14ac:dyDescent="0.2">
      <c r="A427">
        <v>387</v>
      </c>
      <c r="B427" s="33" t="s">
        <v>209</v>
      </c>
      <c r="C427" s="34"/>
      <c r="D427" s="35"/>
      <c r="E427" s="36">
        <f t="shared" si="18"/>
        <v>0</v>
      </c>
      <c r="F427" s="50" t="s">
        <v>22</v>
      </c>
      <c r="G427" s="38">
        <v>220</v>
      </c>
      <c r="H427" s="39">
        <f t="shared" si="16"/>
        <v>0</v>
      </c>
      <c r="I427" s="51"/>
      <c r="J427" s="52"/>
      <c r="L427" s="53"/>
      <c r="M427" s="54"/>
    </row>
    <row r="428" spans="1:14" ht="15.75" customHeight="1" x14ac:dyDescent="0.2">
      <c r="A428">
        <v>388</v>
      </c>
      <c r="B428" s="33" t="s">
        <v>210</v>
      </c>
      <c r="C428" s="34"/>
      <c r="D428" s="35"/>
      <c r="E428" s="36">
        <f t="shared" si="18"/>
        <v>0</v>
      </c>
      <c r="F428" s="50" t="s">
        <v>22</v>
      </c>
      <c r="G428" s="38">
        <v>162</v>
      </c>
      <c r="H428" s="39">
        <f t="shared" si="16"/>
        <v>0</v>
      </c>
      <c r="I428" s="51"/>
      <c r="J428" s="52"/>
      <c r="L428" s="53"/>
      <c r="M428" s="54"/>
    </row>
    <row r="429" spans="1:14" ht="15.75" customHeight="1" x14ac:dyDescent="0.2">
      <c r="A429">
        <v>389</v>
      </c>
      <c r="B429" s="33" t="s">
        <v>211</v>
      </c>
      <c r="C429" s="34"/>
      <c r="D429" s="35"/>
      <c r="E429" s="36">
        <f t="shared" si="18"/>
        <v>0</v>
      </c>
      <c r="F429" s="50" t="s">
        <v>22</v>
      </c>
      <c r="G429" s="38">
        <v>140</v>
      </c>
      <c r="H429" s="39">
        <f t="shared" si="16"/>
        <v>0</v>
      </c>
      <c r="I429" s="51"/>
      <c r="J429" s="52"/>
      <c r="L429" s="53"/>
      <c r="M429" s="54"/>
    </row>
    <row r="430" spans="1:14" ht="15.75" customHeight="1" x14ac:dyDescent="0.2">
      <c r="A430">
        <v>390</v>
      </c>
      <c r="B430" s="33" t="s">
        <v>212</v>
      </c>
      <c r="C430" s="34"/>
      <c r="D430" s="35"/>
      <c r="E430" s="36">
        <f t="shared" si="18"/>
        <v>0</v>
      </c>
      <c r="F430" s="50" t="s">
        <v>22</v>
      </c>
      <c r="G430" s="38">
        <v>127</v>
      </c>
      <c r="H430" s="39">
        <f t="shared" si="16"/>
        <v>0</v>
      </c>
      <c r="I430" s="51"/>
      <c r="J430" s="52"/>
      <c r="L430" s="53"/>
      <c r="M430" s="54"/>
    </row>
    <row r="431" spans="1:14" ht="15.75" customHeight="1" x14ac:dyDescent="0.2">
      <c r="A431">
        <v>391</v>
      </c>
      <c r="B431" s="33" t="s">
        <v>213</v>
      </c>
      <c r="C431" s="34"/>
      <c r="D431" s="35"/>
      <c r="E431" s="36">
        <f t="shared" si="18"/>
        <v>0</v>
      </c>
      <c r="F431" s="50" t="s">
        <v>22</v>
      </c>
      <c r="G431" s="38">
        <v>79</v>
      </c>
      <c r="H431" s="39">
        <f t="shared" si="16"/>
        <v>0</v>
      </c>
      <c r="I431" s="51"/>
      <c r="J431" s="52"/>
      <c r="L431" s="53"/>
      <c r="M431" s="54"/>
    </row>
    <row r="432" spans="1:14" ht="15.75" customHeight="1" x14ac:dyDescent="0.2">
      <c r="A432">
        <v>392</v>
      </c>
      <c r="B432" s="33" t="s">
        <v>214</v>
      </c>
      <c r="C432" s="34"/>
      <c r="D432" s="35"/>
      <c r="E432" s="36">
        <f t="shared" si="18"/>
        <v>0</v>
      </c>
      <c r="F432" s="50" t="s">
        <v>22</v>
      </c>
      <c r="G432" s="38">
        <v>67</v>
      </c>
      <c r="H432" s="39">
        <f t="shared" si="16"/>
        <v>0</v>
      </c>
      <c r="I432" s="51"/>
      <c r="J432" s="52"/>
      <c r="L432" s="53"/>
      <c r="M432" s="54"/>
    </row>
    <row r="433" spans="1:13" ht="15.75" customHeight="1" x14ac:dyDescent="0.2">
      <c r="A433">
        <v>393</v>
      </c>
      <c r="B433" s="33" t="s">
        <v>217</v>
      </c>
      <c r="C433" s="34"/>
      <c r="D433" s="35"/>
      <c r="E433" s="36">
        <f t="shared" si="18"/>
        <v>0</v>
      </c>
      <c r="F433" s="50" t="s">
        <v>28</v>
      </c>
      <c r="G433" s="38">
        <v>233</v>
      </c>
      <c r="H433" s="39">
        <f t="shared" si="16"/>
        <v>0</v>
      </c>
      <c r="I433" s="51"/>
      <c r="J433" s="52"/>
      <c r="L433" s="53"/>
      <c r="M433" s="54"/>
    </row>
    <row r="434" spans="1:13" ht="15.75" customHeight="1" x14ac:dyDescent="0.2">
      <c r="A434">
        <v>394</v>
      </c>
      <c r="B434" s="33" t="s">
        <v>218</v>
      </c>
      <c r="C434" s="34"/>
      <c r="D434" s="35"/>
      <c r="E434" s="36">
        <f t="shared" si="18"/>
        <v>0</v>
      </c>
      <c r="F434" s="50" t="s">
        <v>28</v>
      </c>
      <c r="G434" s="38">
        <v>168</v>
      </c>
      <c r="H434" s="39">
        <f t="shared" si="16"/>
        <v>0</v>
      </c>
      <c r="I434" s="51"/>
      <c r="J434" s="52"/>
      <c r="L434" s="53"/>
      <c r="M434" s="54"/>
    </row>
    <row r="435" spans="1:13" ht="15.75" customHeight="1" x14ac:dyDescent="0.2">
      <c r="A435">
        <v>395</v>
      </c>
      <c r="B435" s="33" t="s">
        <v>219</v>
      </c>
      <c r="C435" s="34"/>
      <c r="D435" s="35"/>
      <c r="E435" s="36">
        <f t="shared" si="18"/>
        <v>0</v>
      </c>
      <c r="F435" s="50" t="s">
        <v>28</v>
      </c>
      <c r="G435" s="38">
        <v>125</v>
      </c>
      <c r="H435" s="39">
        <f t="shared" si="16"/>
        <v>0</v>
      </c>
      <c r="I435" s="51"/>
      <c r="J435" s="52"/>
      <c r="L435" s="53"/>
      <c r="M435" s="54"/>
    </row>
    <row r="436" spans="1:13" ht="15.75" customHeight="1" x14ac:dyDescent="0.2">
      <c r="A436">
        <v>396</v>
      </c>
      <c r="B436" s="33" t="s">
        <v>220</v>
      </c>
      <c r="C436" s="34"/>
      <c r="D436" s="35"/>
      <c r="E436" s="36">
        <f t="shared" si="18"/>
        <v>0</v>
      </c>
      <c r="F436" s="50" t="s">
        <v>28</v>
      </c>
      <c r="G436" s="38">
        <v>100</v>
      </c>
      <c r="H436" s="39">
        <f t="shared" si="16"/>
        <v>0</v>
      </c>
      <c r="I436" s="51"/>
      <c r="J436" s="52"/>
      <c r="L436" s="53"/>
      <c r="M436" s="54"/>
    </row>
    <row r="437" spans="1:13" ht="15.75" customHeight="1" x14ac:dyDescent="0.2">
      <c r="A437">
        <v>397</v>
      </c>
      <c r="B437" s="33" t="s">
        <v>221</v>
      </c>
      <c r="C437" s="34"/>
      <c r="D437" s="35"/>
      <c r="E437" s="36">
        <f t="shared" si="18"/>
        <v>0</v>
      </c>
      <c r="F437" s="50" t="s">
        <v>28</v>
      </c>
      <c r="G437" s="38">
        <v>83</v>
      </c>
      <c r="H437" s="39">
        <f t="shared" si="16"/>
        <v>0</v>
      </c>
      <c r="I437" s="51"/>
      <c r="J437" s="52"/>
      <c r="L437" s="53"/>
      <c r="M437" s="54"/>
    </row>
    <row r="438" spans="1:13" ht="15.75" customHeight="1" x14ac:dyDescent="0.2">
      <c r="A438">
        <v>398</v>
      </c>
      <c r="B438" s="33" t="s">
        <v>222</v>
      </c>
      <c r="C438" s="34"/>
      <c r="D438" s="35"/>
      <c r="E438" s="36">
        <f t="shared" si="18"/>
        <v>0</v>
      </c>
      <c r="F438" s="50" t="s">
        <v>28</v>
      </c>
      <c r="G438" s="38">
        <v>62</v>
      </c>
      <c r="H438" s="39">
        <f t="shared" si="16"/>
        <v>0</v>
      </c>
      <c r="I438" s="51"/>
      <c r="J438" s="52"/>
      <c r="L438" s="53"/>
      <c r="M438" s="54"/>
    </row>
    <row r="439" spans="1:13" ht="15.75" customHeight="1" x14ac:dyDescent="0.2">
      <c r="A439">
        <v>399</v>
      </c>
      <c r="B439" s="33" t="s">
        <v>223</v>
      </c>
      <c r="C439" s="34"/>
      <c r="D439" s="35"/>
      <c r="E439" s="36">
        <f t="shared" si="18"/>
        <v>0</v>
      </c>
      <c r="F439" s="50" t="s">
        <v>28</v>
      </c>
      <c r="G439" s="38">
        <v>54</v>
      </c>
      <c r="H439" s="39">
        <f t="shared" ref="H439:H502" si="19">E439*G439</f>
        <v>0</v>
      </c>
      <c r="I439" s="51"/>
      <c r="J439" s="52"/>
      <c r="L439" s="53"/>
      <c r="M439" s="54"/>
    </row>
    <row r="440" spans="1:13" ht="15.75" customHeight="1" x14ac:dyDescent="0.2">
      <c r="A440">
        <v>400</v>
      </c>
      <c r="B440" s="33" t="s">
        <v>224</v>
      </c>
      <c r="C440" s="34"/>
      <c r="D440" s="35"/>
      <c r="E440" s="36">
        <f t="shared" si="18"/>
        <v>0</v>
      </c>
      <c r="F440" s="50" t="s">
        <v>28</v>
      </c>
      <c r="G440" s="38">
        <v>47</v>
      </c>
      <c r="H440" s="39">
        <f t="shared" si="19"/>
        <v>0</v>
      </c>
      <c r="I440" s="51"/>
      <c r="J440" s="52"/>
      <c r="L440" s="53"/>
      <c r="M440" s="54"/>
    </row>
    <row r="441" spans="1:13" ht="15.75" customHeight="1" x14ac:dyDescent="0.2">
      <c r="A441">
        <v>401</v>
      </c>
      <c r="B441" s="33" t="s">
        <v>225</v>
      </c>
      <c r="C441" s="34"/>
      <c r="D441" s="35"/>
      <c r="E441" s="36">
        <f t="shared" si="18"/>
        <v>0</v>
      </c>
      <c r="F441" s="50" t="s">
        <v>28</v>
      </c>
      <c r="G441" s="38">
        <v>37</v>
      </c>
      <c r="H441" s="39">
        <f t="shared" si="19"/>
        <v>0</v>
      </c>
      <c r="I441" s="51"/>
      <c r="J441" s="52"/>
      <c r="L441" s="53"/>
      <c r="M441" s="54"/>
    </row>
    <row r="442" spans="1:13" ht="15.75" customHeight="1" x14ac:dyDescent="0.2">
      <c r="A442">
        <v>402</v>
      </c>
      <c r="B442" s="33" t="s">
        <v>228</v>
      </c>
      <c r="C442" s="34"/>
      <c r="D442" s="35"/>
      <c r="E442" s="36">
        <f t="shared" si="18"/>
        <v>0</v>
      </c>
      <c r="F442" s="50" t="s">
        <v>28</v>
      </c>
      <c r="G442" s="38">
        <v>270</v>
      </c>
      <c r="H442" s="39">
        <f t="shared" si="19"/>
        <v>0</v>
      </c>
      <c r="I442" s="51"/>
      <c r="J442" s="52"/>
      <c r="L442" s="53"/>
      <c r="M442" s="54"/>
    </row>
    <row r="443" spans="1:13" ht="15.75" customHeight="1" x14ac:dyDescent="0.2">
      <c r="A443">
        <v>403</v>
      </c>
      <c r="B443" s="33" t="s">
        <v>229</v>
      </c>
      <c r="C443" s="34"/>
      <c r="D443" s="35"/>
      <c r="E443" s="36">
        <f t="shared" si="18"/>
        <v>0</v>
      </c>
      <c r="F443" s="50" t="s">
        <v>28</v>
      </c>
      <c r="G443" s="38">
        <v>195</v>
      </c>
      <c r="H443" s="39">
        <f t="shared" si="19"/>
        <v>0</v>
      </c>
      <c r="I443" s="51"/>
      <c r="J443" s="52"/>
      <c r="L443" s="53"/>
      <c r="M443" s="54"/>
    </row>
    <row r="444" spans="1:13" ht="15.75" customHeight="1" x14ac:dyDescent="0.2">
      <c r="A444">
        <v>404</v>
      </c>
      <c r="B444" s="33" t="s">
        <v>230</v>
      </c>
      <c r="C444" s="34"/>
      <c r="D444" s="35"/>
      <c r="E444" s="36">
        <f t="shared" si="18"/>
        <v>0</v>
      </c>
      <c r="F444" s="50" t="s">
        <v>28</v>
      </c>
      <c r="G444" s="38">
        <v>171</v>
      </c>
      <c r="H444" s="39">
        <f t="shared" si="19"/>
        <v>0</v>
      </c>
      <c r="I444" s="51"/>
      <c r="J444" s="52"/>
      <c r="L444" s="53"/>
      <c r="M444" s="54"/>
    </row>
    <row r="445" spans="1:13" ht="15.75" customHeight="1" x14ac:dyDescent="0.2">
      <c r="A445">
        <v>405</v>
      </c>
      <c r="B445" s="33" t="s">
        <v>231</v>
      </c>
      <c r="C445" s="34"/>
      <c r="D445" s="35"/>
      <c r="E445" s="36">
        <f t="shared" si="18"/>
        <v>0</v>
      </c>
      <c r="F445" s="50" t="s">
        <v>28</v>
      </c>
      <c r="G445" s="38">
        <v>141</v>
      </c>
      <c r="H445" s="39">
        <f t="shared" si="19"/>
        <v>0</v>
      </c>
      <c r="I445" s="51"/>
      <c r="J445" s="52"/>
      <c r="L445" s="53"/>
      <c r="M445" s="54"/>
    </row>
    <row r="446" spans="1:13" ht="15.75" customHeight="1" x14ac:dyDescent="0.2">
      <c r="A446">
        <v>406</v>
      </c>
      <c r="B446" s="33" t="s">
        <v>232</v>
      </c>
      <c r="C446" s="34"/>
      <c r="D446" s="35"/>
      <c r="E446" s="36">
        <f t="shared" si="18"/>
        <v>0</v>
      </c>
      <c r="F446" s="50" t="s">
        <v>28</v>
      </c>
      <c r="G446" s="38">
        <v>116</v>
      </c>
      <c r="H446" s="39">
        <f t="shared" si="19"/>
        <v>0</v>
      </c>
      <c r="I446" s="51"/>
      <c r="J446" s="52"/>
      <c r="L446" s="53"/>
      <c r="M446" s="54"/>
    </row>
    <row r="447" spans="1:13" ht="15.75" customHeight="1" x14ac:dyDescent="0.2">
      <c r="A447">
        <v>407</v>
      </c>
      <c r="B447" s="33" t="s">
        <v>233</v>
      </c>
      <c r="C447" s="34"/>
      <c r="D447" s="35"/>
      <c r="E447" s="36">
        <f t="shared" si="18"/>
        <v>0</v>
      </c>
      <c r="F447" s="50" t="s">
        <v>28</v>
      </c>
      <c r="G447" s="38">
        <v>85</v>
      </c>
      <c r="H447" s="39">
        <f t="shared" si="19"/>
        <v>0</v>
      </c>
      <c r="I447" s="51"/>
      <c r="J447" s="52"/>
      <c r="L447" s="53"/>
      <c r="M447" s="54"/>
    </row>
    <row r="448" spans="1:13" ht="15.75" customHeight="1" x14ac:dyDescent="0.2">
      <c r="A448">
        <v>408</v>
      </c>
      <c r="B448" s="33" t="s">
        <v>234</v>
      </c>
      <c r="C448" s="34"/>
      <c r="D448" s="35"/>
      <c r="E448" s="36">
        <f t="shared" si="18"/>
        <v>0</v>
      </c>
      <c r="F448" s="50" t="s">
        <v>28</v>
      </c>
      <c r="G448" s="38">
        <v>58</v>
      </c>
      <c r="H448" s="39">
        <f t="shared" si="19"/>
        <v>0</v>
      </c>
      <c r="I448" s="51"/>
      <c r="J448" s="52"/>
      <c r="L448" s="53"/>
      <c r="M448" s="54"/>
    </row>
    <row r="449" spans="1:13" ht="15.75" customHeight="1" x14ac:dyDescent="0.2">
      <c r="A449">
        <v>409</v>
      </c>
      <c r="B449" s="33" t="s">
        <v>235</v>
      </c>
      <c r="C449" s="34"/>
      <c r="D449" s="35"/>
      <c r="E449" s="36">
        <f t="shared" si="18"/>
        <v>0</v>
      </c>
      <c r="F449" s="50" t="s">
        <v>28</v>
      </c>
      <c r="G449" s="38">
        <v>42</v>
      </c>
      <c r="H449" s="39">
        <f t="shared" si="19"/>
        <v>0</v>
      </c>
      <c r="I449" s="51"/>
      <c r="J449" s="52"/>
      <c r="L449" s="53"/>
      <c r="M449" s="54"/>
    </row>
    <row r="450" spans="1:13" ht="15.75" customHeight="1" x14ac:dyDescent="0.2">
      <c r="A450">
        <v>410</v>
      </c>
      <c r="B450" s="33" t="s">
        <v>236</v>
      </c>
      <c r="C450" s="34"/>
      <c r="D450" s="35"/>
      <c r="E450" s="36">
        <f t="shared" si="18"/>
        <v>0</v>
      </c>
      <c r="F450" s="50" t="s">
        <v>28</v>
      </c>
      <c r="G450" s="38">
        <v>35</v>
      </c>
      <c r="H450" s="39">
        <f t="shared" si="19"/>
        <v>0</v>
      </c>
      <c r="I450" s="51"/>
      <c r="J450" s="52"/>
      <c r="L450" s="53"/>
      <c r="M450" s="54"/>
    </row>
    <row r="451" spans="1:13" ht="15.75" customHeight="1" x14ac:dyDescent="0.2">
      <c r="A451">
        <v>411</v>
      </c>
      <c r="B451" s="33" t="s">
        <v>259</v>
      </c>
      <c r="C451" s="34"/>
      <c r="D451" s="35"/>
      <c r="E451" s="36">
        <f t="shared" si="18"/>
        <v>0</v>
      </c>
      <c r="F451" s="50" t="s">
        <v>22</v>
      </c>
      <c r="G451" s="38">
        <v>329</v>
      </c>
      <c r="H451" s="39">
        <f t="shared" si="19"/>
        <v>0</v>
      </c>
      <c r="I451" s="51"/>
      <c r="J451" s="52"/>
      <c r="L451" s="53"/>
      <c r="M451" s="54"/>
    </row>
    <row r="452" spans="1:13" ht="15.75" customHeight="1" x14ac:dyDescent="0.2">
      <c r="A452">
        <v>412</v>
      </c>
      <c r="B452" s="33" t="s">
        <v>260</v>
      </c>
      <c r="C452" s="34"/>
      <c r="D452" s="35"/>
      <c r="E452" s="36">
        <f t="shared" si="18"/>
        <v>0</v>
      </c>
      <c r="F452" s="50" t="s">
        <v>22</v>
      </c>
      <c r="G452" s="38">
        <v>266</v>
      </c>
      <c r="H452" s="39">
        <f t="shared" si="19"/>
        <v>0</v>
      </c>
      <c r="I452" s="51"/>
      <c r="J452" s="52"/>
      <c r="L452" s="53"/>
      <c r="M452" s="54"/>
    </row>
    <row r="453" spans="1:13" ht="15.75" customHeight="1" x14ac:dyDescent="0.2">
      <c r="A453">
        <v>413</v>
      </c>
      <c r="B453" s="33" t="s">
        <v>261</v>
      </c>
      <c r="C453" s="34"/>
      <c r="D453" s="35"/>
      <c r="E453" s="36">
        <f t="shared" si="18"/>
        <v>0</v>
      </c>
      <c r="F453" s="50" t="s">
        <v>22</v>
      </c>
      <c r="G453" s="38">
        <v>212</v>
      </c>
      <c r="H453" s="39">
        <f t="shared" si="19"/>
        <v>0</v>
      </c>
      <c r="I453" s="51"/>
      <c r="J453" s="52"/>
      <c r="L453" s="53"/>
      <c r="M453" s="54"/>
    </row>
    <row r="454" spans="1:13" ht="15.75" customHeight="1" x14ac:dyDescent="0.2">
      <c r="A454">
        <v>414</v>
      </c>
      <c r="B454" s="33" t="s">
        <v>262</v>
      </c>
      <c r="C454" s="34"/>
      <c r="D454" s="35"/>
      <c r="E454" s="36">
        <f t="shared" si="18"/>
        <v>0</v>
      </c>
      <c r="F454" s="50" t="s">
        <v>22</v>
      </c>
      <c r="G454" s="38">
        <v>180</v>
      </c>
      <c r="H454" s="39">
        <f t="shared" si="19"/>
        <v>0</v>
      </c>
      <c r="I454" s="51"/>
      <c r="J454" s="52"/>
      <c r="L454" s="53"/>
      <c r="M454" s="54"/>
    </row>
    <row r="455" spans="1:13" ht="15.75" customHeight="1" x14ac:dyDescent="0.2">
      <c r="A455">
        <v>415</v>
      </c>
      <c r="B455" s="33" t="s">
        <v>263</v>
      </c>
      <c r="C455" s="34"/>
      <c r="D455" s="35"/>
      <c r="E455" s="36">
        <f t="shared" si="18"/>
        <v>0</v>
      </c>
      <c r="F455" s="50" t="s">
        <v>22</v>
      </c>
      <c r="G455" s="38">
        <v>151</v>
      </c>
      <c r="H455" s="39">
        <f t="shared" si="19"/>
        <v>0</v>
      </c>
      <c r="I455" s="51"/>
      <c r="J455" s="52"/>
      <c r="L455" s="53"/>
      <c r="M455" s="54"/>
    </row>
    <row r="456" spans="1:13" ht="15.75" customHeight="1" x14ac:dyDescent="0.2">
      <c r="A456">
        <v>416</v>
      </c>
      <c r="B456" s="33" t="s">
        <v>264</v>
      </c>
      <c r="C456" s="34"/>
      <c r="D456" s="35"/>
      <c r="E456" s="36">
        <f t="shared" si="18"/>
        <v>0</v>
      </c>
      <c r="F456" s="50" t="s">
        <v>22</v>
      </c>
      <c r="G456" s="38">
        <v>137</v>
      </c>
      <c r="H456" s="39">
        <f t="shared" si="19"/>
        <v>0</v>
      </c>
      <c r="I456" s="51"/>
      <c r="J456" s="52"/>
      <c r="L456" s="53"/>
      <c r="M456" s="54"/>
    </row>
    <row r="457" spans="1:13" ht="15.75" customHeight="1" x14ac:dyDescent="0.2">
      <c r="A457">
        <v>417</v>
      </c>
      <c r="B457" s="33" t="s">
        <v>265</v>
      </c>
      <c r="C457" s="34"/>
      <c r="D457" s="35"/>
      <c r="E457" s="36">
        <f t="shared" si="18"/>
        <v>0</v>
      </c>
      <c r="F457" s="50" t="s">
        <v>22</v>
      </c>
      <c r="G457" s="38">
        <v>121</v>
      </c>
      <c r="H457" s="39">
        <f t="shared" si="19"/>
        <v>0</v>
      </c>
      <c r="I457" s="51"/>
      <c r="J457" s="52"/>
      <c r="L457" s="53"/>
      <c r="M457" s="54"/>
    </row>
    <row r="458" spans="1:13" ht="15.75" customHeight="1" x14ac:dyDescent="0.2">
      <c r="A458">
        <v>418</v>
      </c>
      <c r="B458" s="33" t="s">
        <v>266</v>
      </c>
      <c r="C458" s="34"/>
      <c r="D458" s="35"/>
      <c r="E458" s="36">
        <f t="shared" si="18"/>
        <v>0</v>
      </c>
      <c r="F458" s="50" t="s">
        <v>22</v>
      </c>
      <c r="G458" s="38">
        <v>112</v>
      </c>
      <c r="H458" s="39">
        <f t="shared" si="19"/>
        <v>0</v>
      </c>
      <c r="I458" s="51"/>
      <c r="J458" s="52"/>
      <c r="L458" s="53"/>
      <c r="M458" s="54"/>
    </row>
    <row r="459" spans="1:13" ht="15.75" customHeight="1" x14ac:dyDescent="0.2">
      <c r="A459">
        <v>419</v>
      </c>
      <c r="B459" s="33" t="s">
        <v>267</v>
      </c>
      <c r="C459" s="34"/>
      <c r="D459" s="35"/>
      <c r="E459" s="36">
        <f t="shared" si="18"/>
        <v>0</v>
      </c>
      <c r="F459" s="50" t="s">
        <v>28</v>
      </c>
      <c r="G459" s="38">
        <v>536</v>
      </c>
      <c r="H459" s="39">
        <f t="shared" si="19"/>
        <v>0</v>
      </c>
      <c r="I459" s="51"/>
      <c r="J459" s="52"/>
      <c r="L459" s="53"/>
      <c r="M459" s="54"/>
    </row>
    <row r="460" spans="1:13" ht="15.75" customHeight="1" x14ac:dyDescent="0.2">
      <c r="A460">
        <v>420</v>
      </c>
      <c r="B460" s="33" t="s">
        <v>268</v>
      </c>
      <c r="C460" s="34"/>
      <c r="D460" s="35"/>
      <c r="E460" s="36">
        <f t="shared" si="18"/>
        <v>0</v>
      </c>
      <c r="F460" s="50" t="s">
        <v>28</v>
      </c>
      <c r="G460" s="38">
        <v>345</v>
      </c>
      <c r="H460" s="39">
        <f t="shared" si="19"/>
        <v>0</v>
      </c>
      <c r="I460" s="51"/>
      <c r="J460" s="52"/>
      <c r="L460" s="53"/>
      <c r="M460" s="54"/>
    </row>
    <row r="461" spans="1:13" ht="15.75" customHeight="1" x14ac:dyDescent="0.2">
      <c r="A461">
        <v>421</v>
      </c>
      <c r="B461" s="33" t="s">
        <v>269</v>
      </c>
      <c r="C461" s="34"/>
      <c r="D461" s="35"/>
      <c r="E461" s="36">
        <f t="shared" si="18"/>
        <v>0</v>
      </c>
      <c r="F461" s="50" t="s">
        <v>28</v>
      </c>
      <c r="G461" s="38">
        <v>283</v>
      </c>
      <c r="H461" s="39">
        <f t="shared" si="19"/>
        <v>0</v>
      </c>
      <c r="I461" s="51"/>
      <c r="J461" s="52"/>
      <c r="L461" s="53"/>
      <c r="M461" s="54"/>
    </row>
    <row r="462" spans="1:13" ht="15.75" customHeight="1" x14ac:dyDescent="0.2">
      <c r="A462">
        <v>422</v>
      </c>
      <c r="B462" s="33" t="s">
        <v>270</v>
      </c>
      <c r="C462" s="34"/>
      <c r="D462" s="35"/>
      <c r="E462" s="36">
        <f t="shared" si="18"/>
        <v>0</v>
      </c>
      <c r="F462" s="50" t="s">
        <v>28</v>
      </c>
      <c r="G462" s="38">
        <v>228</v>
      </c>
      <c r="H462" s="39">
        <f t="shared" si="19"/>
        <v>0</v>
      </c>
      <c r="I462" s="51"/>
      <c r="J462" s="52"/>
      <c r="L462" s="53"/>
      <c r="M462" s="54"/>
    </row>
    <row r="463" spans="1:13" ht="15.75" customHeight="1" x14ac:dyDescent="0.2">
      <c r="A463">
        <v>423</v>
      </c>
      <c r="B463" s="33" t="s">
        <v>271</v>
      </c>
      <c r="C463" s="34"/>
      <c r="D463" s="35"/>
      <c r="E463" s="36">
        <f t="shared" si="18"/>
        <v>0</v>
      </c>
      <c r="F463" s="50" t="s">
        <v>28</v>
      </c>
      <c r="G463" s="38">
        <v>187</v>
      </c>
      <c r="H463" s="39">
        <f t="shared" si="19"/>
        <v>0</v>
      </c>
      <c r="I463" s="51"/>
      <c r="J463" s="52"/>
      <c r="L463" s="53"/>
      <c r="M463" s="54"/>
    </row>
    <row r="464" spans="1:13" ht="15.75" customHeight="1" x14ac:dyDescent="0.2">
      <c r="A464">
        <v>424</v>
      </c>
      <c r="B464" s="33" t="s">
        <v>272</v>
      </c>
      <c r="C464" s="34"/>
      <c r="D464" s="35"/>
      <c r="E464" s="36">
        <f t="shared" si="18"/>
        <v>0</v>
      </c>
      <c r="F464" s="50" t="s">
        <v>28</v>
      </c>
      <c r="G464" s="38">
        <v>158</v>
      </c>
      <c r="H464" s="39">
        <f t="shared" si="19"/>
        <v>0</v>
      </c>
      <c r="I464" s="51"/>
      <c r="J464" s="52"/>
      <c r="L464" s="53"/>
      <c r="M464" s="54"/>
    </row>
    <row r="465" spans="1:13" ht="15.75" customHeight="1" x14ac:dyDescent="0.2">
      <c r="A465">
        <v>425</v>
      </c>
      <c r="B465" s="33" t="s">
        <v>273</v>
      </c>
      <c r="C465" s="34"/>
      <c r="D465" s="35"/>
      <c r="E465" s="36">
        <f t="shared" si="18"/>
        <v>0</v>
      </c>
      <c r="F465" s="50" t="s">
        <v>28</v>
      </c>
      <c r="G465" s="38">
        <v>145</v>
      </c>
      <c r="H465" s="39">
        <f t="shared" si="19"/>
        <v>0</v>
      </c>
      <c r="I465" s="51"/>
      <c r="J465" s="52"/>
      <c r="L465" s="53"/>
      <c r="M465" s="54"/>
    </row>
    <row r="466" spans="1:13" ht="15.75" customHeight="1" x14ac:dyDescent="0.2">
      <c r="A466">
        <v>426</v>
      </c>
      <c r="B466" s="33" t="s">
        <v>274</v>
      </c>
      <c r="C466" s="34"/>
      <c r="D466" s="35"/>
      <c r="E466" s="36">
        <f t="shared" si="18"/>
        <v>0</v>
      </c>
      <c r="F466" s="50" t="s">
        <v>28</v>
      </c>
      <c r="G466" s="38">
        <v>137</v>
      </c>
      <c r="H466" s="39">
        <f t="shared" si="19"/>
        <v>0</v>
      </c>
      <c r="I466" s="51"/>
      <c r="J466" s="52"/>
      <c r="L466" s="53"/>
      <c r="M466" s="54"/>
    </row>
    <row r="467" spans="1:13" ht="15.75" customHeight="1" x14ac:dyDescent="0.2">
      <c r="A467">
        <v>427</v>
      </c>
      <c r="B467" s="33" t="s">
        <v>275</v>
      </c>
      <c r="C467" s="34"/>
      <c r="D467" s="35"/>
      <c r="E467" s="36">
        <f t="shared" si="18"/>
        <v>0</v>
      </c>
      <c r="F467" s="50" t="s">
        <v>28</v>
      </c>
      <c r="G467" s="38">
        <v>690</v>
      </c>
      <c r="H467" s="39">
        <f t="shared" si="19"/>
        <v>0</v>
      </c>
      <c r="I467" s="51"/>
      <c r="J467" s="52"/>
      <c r="L467" s="53"/>
      <c r="M467" s="54"/>
    </row>
    <row r="468" spans="1:13" ht="15.75" customHeight="1" x14ac:dyDescent="0.2">
      <c r="A468">
        <v>428</v>
      </c>
      <c r="B468" s="33" t="s">
        <v>276</v>
      </c>
      <c r="C468" s="34"/>
      <c r="D468" s="35"/>
      <c r="E468" s="36">
        <f t="shared" si="18"/>
        <v>0</v>
      </c>
      <c r="F468" s="50" t="s">
        <v>28</v>
      </c>
      <c r="G468" s="38">
        <v>432</v>
      </c>
      <c r="H468" s="39">
        <f t="shared" si="19"/>
        <v>0</v>
      </c>
      <c r="I468" s="51"/>
      <c r="J468" s="52"/>
      <c r="L468" s="53"/>
      <c r="M468" s="54"/>
    </row>
    <row r="469" spans="1:13" ht="15.75" customHeight="1" x14ac:dyDescent="0.2">
      <c r="A469">
        <v>429</v>
      </c>
      <c r="B469" s="33" t="s">
        <v>277</v>
      </c>
      <c r="C469" s="34"/>
      <c r="D469" s="35"/>
      <c r="E469" s="36">
        <f t="shared" si="18"/>
        <v>0</v>
      </c>
      <c r="F469" s="50" t="s">
        <v>28</v>
      </c>
      <c r="G469" s="38">
        <v>345</v>
      </c>
      <c r="H469" s="39">
        <f t="shared" si="19"/>
        <v>0</v>
      </c>
      <c r="I469" s="51"/>
      <c r="J469" s="52"/>
      <c r="L469" s="53"/>
      <c r="M469" s="54"/>
    </row>
    <row r="470" spans="1:13" ht="15.75" customHeight="1" x14ac:dyDescent="0.2">
      <c r="A470">
        <v>430</v>
      </c>
      <c r="B470" s="33" t="s">
        <v>278</v>
      </c>
      <c r="C470" s="34"/>
      <c r="D470" s="35"/>
      <c r="E470" s="36">
        <f t="shared" si="18"/>
        <v>0</v>
      </c>
      <c r="F470" s="50" t="s">
        <v>28</v>
      </c>
      <c r="G470" s="38">
        <v>291</v>
      </c>
      <c r="H470" s="39">
        <f t="shared" si="19"/>
        <v>0</v>
      </c>
      <c r="I470" s="51"/>
      <c r="J470" s="52"/>
      <c r="L470" s="53"/>
      <c r="M470" s="54"/>
    </row>
    <row r="471" spans="1:13" ht="15.75" customHeight="1" x14ac:dyDescent="0.2">
      <c r="A471">
        <v>431</v>
      </c>
      <c r="B471" s="33" t="s">
        <v>279</v>
      </c>
      <c r="C471" s="34"/>
      <c r="D471" s="35"/>
      <c r="E471" s="36">
        <f t="shared" si="18"/>
        <v>0</v>
      </c>
      <c r="F471" s="50" t="s">
        <v>28</v>
      </c>
      <c r="G471" s="38">
        <v>254</v>
      </c>
      <c r="H471" s="39">
        <f t="shared" si="19"/>
        <v>0</v>
      </c>
      <c r="I471" s="51"/>
      <c r="J471" s="52"/>
      <c r="L471" s="53"/>
      <c r="M471" s="54"/>
    </row>
    <row r="472" spans="1:13" ht="15.75" customHeight="1" x14ac:dyDescent="0.3">
      <c r="A472">
        <v>432</v>
      </c>
      <c r="B472" s="56" t="s">
        <v>280</v>
      </c>
      <c r="C472" s="34"/>
      <c r="D472" s="35"/>
      <c r="E472" s="36">
        <f t="shared" si="18"/>
        <v>0</v>
      </c>
      <c r="F472" s="50" t="s">
        <v>28</v>
      </c>
      <c r="G472" s="38">
        <v>191</v>
      </c>
      <c r="H472" s="39">
        <f t="shared" si="19"/>
        <v>0</v>
      </c>
      <c r="I472" s="51"/>
      <c r="J472" s="52"/>
      <c r="L472" s="53"/>
      <c r="M472" s="54"/>
    </row>
    <row r="473" spans="1:13" ht="15.75" customHeight="1" x14ac:dyDescent="0.2">
      <c r="A473">
        <v>433</v>
      </c>
      <c r="B473" s="33" t="s">
        <v>281</v>
      </c>
      <c r="C473" s="34"/>
      <c r="D473" s="35"/>
      <c r="E473" s="36">
        <f t="shared" si="18"/>
        <v>0</v>
      </c>
      <c r="F473" s="50" t="s">
        <v>28</v>
      </c>
      <c r="G473" s="38">
        <v>133</v>
      </c>
      <c r="H473" s="39">
        <f t="shared" si="19"/>
        <v>0</v>
      </c>
      <c r="I473" s="51"/>
      <c r="J473" s="52"/>
      <c r="L473" s="53"/>
      <c r="M473" s="54"/>
    </row>
    <row r="474" spans="1:13" ht="15.75" customHeight="1" x14ac:dyDescent="0.2">
      <c r="A474">
        <v>434</v>
      </c>
      <c r="B474" s="33" t="s">
        <v>282</v>
      </c>
      <c r="C474" s="34"/>
      <c r="D474" s="35"/>
      <c r="E474" s="36">
        <f t="shared" si="18"/>
        <v>0</v>
      </c>
      <c r="F474" s="50" t="s">
        <v>28</v>
      </c>
      <c r="G474" s="38">
        <v>121</v>
      </c>
      <c r="H474" s="39">
        <f t="shared" si="19"/>
        <v>0</v>
      </c>
      <c r="I474" s="51"/>
      <c r="J474" s="52"/>
      <c r="L474" s="53"/>
      <c r="M474" s="54"/>
    </row>
    <row r="475" spans="1:13" ht="15.75" customHeight="1" x14ac:dyDescent="0.2">
      <c r="A475">
        <v>435</v>
      </c>
      <c r="B475" s="33" t="s">
        <v>283</v>
      </c>
      <c r="C475" s="34"/>
      <c r="D475" s="35"/>
      <c r="E475" s="36">
        <f t="shared" si="18"/>
        <v>0</v>
      </c>
      <c r="F475" s="50" t="s">
        <v>28</v>
      </c>
      <c r="G475" s="38">
        <v>829</v>
      </c>
      <c r="H475" s="39">
        <f t="shared" si="19"/>
        <v>0</v>
      </c>
      <c r="I475" s="51"/>
      <c r="J475" s="52"/>
      <c r="L475" s="53"/>
      <c r="M475" s="54"/>
    </row>
    <row r="476" spans="1:13" ht="15.75" customHeight="1" x14ac:dyDescent="0.2">
      <c r="A476">
        <v>436</v>
      </c>
      <c r="B476" s="33" t="s">
        <v>284</v>
      </c>
      <c r="C476" s="34"/>
      <c r="D476" s="35"/>
      <c r="E476" s="36">
        <f t="shared" si="18"/>
        <v>0</v>
      </c>
      <c r="F476" s="50" t="s">
        <v>28</v>
      </c>
      <c r="G476" s="38">
        <v>646</v>
      </c>
      <c r="H476" s="39">
        <f t="shared" si="19"/>
        <v>0</v>
      </c>
      <c r="I476" s="51"/>
      <c r="J476" s="52"/>
      <c r="L476" s="53"/>
      <c r="M476" s="54"/>
    </row>
    <row r="477" spans="1:13" ht="15.75" customHeight="1" x14ac:dyDescent="0.2">
      <c r="A477">
        <v>437</v>
      </c>
      <c r="B477" s="33" t="s">
        <v>285</v>
      </c>
      <c r="C477" s="34"/>
      <c r="D477" s="35"/>
      <c r="E477" s="36">
        <f t="shared" si="18"/>
        <v>0</v>
      </c>
      <c r="F477" s="50" t="s">
        <v>28</v>
      </c>
      <c r="G477" s="38">
        <v>407</v>
      </c>
      <c r="H477" s="39">
        <f t="shared" si="19"/>
        <v>0</v>
      </c>
      <c r="I477" s="51"/>
      <c r="J477" s="52"/>
      <c r="L477" s="53"/>
      <c r="M477" s="54"/>
    </row>
    <row r="478" spans="1:13" ht="15.75" customHeight="1" x14ac:dyDescent="0.2">
      <c r="A478">
        <v>438</v>
      </c>
      <c r="B478" s="33" t="s">
        <v>286</v>
      </c>
      <c r="C478" s="34"/>
      <c r="D478" s="35"/>
      <c r="E478" s="36">
        <f t="shared" si="18"/>
        <v>0</v>
      </c>
      <c r="F478" s="50" t="s">
        <v>28</v>
      </c>
      <c r="G478" s="38">
        <v>300</v>
      </c>
      <c r="H478" s="39">
        <f t="shared" si="19"/>
        <v>0</v>
      </c>
      <c r="I478" s="51"/>
      <c r="J478" s="52"/>
      <c r="L478" s="53"/>
      <c r="M478" s="54"/>
    </row>
    <row r="479" spans="1:13" ht="15.75" customHeight="1" x14ac:dyDescent="0.2">
      <c r="A479">
        <v>439</v>
      </c>
      <c r="B479" s="33" t="s">
        <v>287</v>
      </c>
      <c r="C479" s="34"/>
      <c r="D479" s="35"/>
      <c r="E479" s="36">
        <f t="shared" si="18"/>
        <v>0</v>
      </c>
      <c r="F479" s="50" t="s">
        <v>28</v>
      </c>
      <c r="G479" s="38">
        <v>245</v>
      </c>
      <c r="H479" s="39">
        <f t="shared" si="19"/>
        <v>0</v>
      </c>
      <c r="I479" s="51"/>
      <c r="J479" s="52"/>
      <c r="L479" s="53"/>
      <c r="M479" s="54"/>
    </row>
    <row r="480" spans="1:13" ht="15.75" customHeight="1" x14ac:dyDescent="0.2">
      <c r="A480">
        <v>440</v>
      </c>
      <c r="B480" s="33" t="s">
        <v>288</v>
      </c>
      <c r="C480" s="34"/>
      <c r="D480" s="35"/>
      <c r="E480" s="36">
        <f t="shared" si="18"/>
        <v>0</v>
      </c>
      <c r="F480" s="50" t="s">
        <v>28</v>
      </c>
      <c r="G480" s="38">
        <v>183</v>
      </c>
      <c r="H480" s="39">
        <f t="shared" si="19"/>
        <v>0</v>
      </c>
      <c r="I480" s="51"/>
      <c r="J480" s="52"/>
      <c r="L480" s="53"/>
      <c r="M480" s="54"/>
    </row>
    <row r="481" spans="1:13" ht="15.75" customHeight="1" x14ac:dyDescent="0.2">
      <c r="A481">
        <v>441</v>
      </c>
      <c r="B481" s="33" t="s">
        <v>289</v>
      </c>
      <c r="C481" s="34"/>
      <c r="D481" s="35"/>
      <c r="E481" s="36">
        <f t="shared" si="18"/>
        <v>0</v>
      </c>
      <c r="F481" s="50" t="s">
        <v>28</v>
      </c>
      <c r="G481" s="38">
        <v>133</v>
      </c>
      <c r="H481" s="39">
        <f t="shared" si="19"/>
        <v>0</v>
      </c>
      <c r="I481" s="51"/>
      <c r="J481" s="52"/>
      <c r="L481" s="53"/>
      <c r="M481" s="54"/>
    </row>
    <row r="482" spans="1:13" ht="15.75" customHeight="1" x14ac:dyDescent="0.2">
      <c r="A482">
        <v>442</v>
      </c>
      <c r="B482" s="33" t="s">
        <v>290</v>
      </c>
      <c r="C482" s="34"/>
      <c r="D482" s="35"/>
      <c r="E482" s="36">
        <f t="shared" si="18"/>
        <v>0</v>
      </c>
      <c r="F482" s="50" t="s">
        <v>28</v>
      </c>
      <c r="G482" s="38">
        <v>96</v>
      </c>
      <c r="H482" s="39">
        <f t="shared" si="19"/>
        <v>0</v>
      </c>
      <c r="I482" s="51"/>
      <c r="J482" s="52"/>
      <c r="L482" s="53"/>
      <c r="M482" s="54"/>
    </row>
    <row r="483" spans="1:13" ht="15.75" customHeight="1" x14ac:dyDescent="0.2">
      <c r="A483">
        <v>443</v>
      </c>
      <c r="B483" s="33" t="s">
        <v>291</v>
      </c>
      <c r="C483" s="34"/>
      <c r="D483" s="35"/>
      <c r="E483" s="36">
        <f t="shared" si="18"/>
        <v>0</v>
      </c>
      <c r="F483" s="50" t="s">
        <v>28</v>
      </c>
      <c r="G483" s="38">
        <v>2159</v>
      </c>
      <c r="H483" s="39">
        <f t="shared" si="19"/>
        <v>0</v>
      </c>
      <c r="I483" s="51"/>
      <c r="J483" s="52"/>
      <c r="L483" s="53"/>
      <c r="M483" s="54"/>
    </row>
    <row r="484" spans="1:13" ht="15.75" customHeight="1" x14ac:dyDescent="0.2">
      <c r="A484">
        <v>444</v>
      </c>
      <c r="B484" s="33" t="s">
        <v>292</v>
      </c>
      <c r="C484" s="34"/>
      <c r="D484" s="35"/>
      <c r="E484" s="36">
        <f t="shared" si="18"/>
        <v>0</v>
      </c>
      <c r="F484" s="50" t="s">
        <v>28</v>
      </c>
      <c r="G484" s="38">
        <v>1441</v>
      </c>
      <c r="H484" s="39">
        <f t="shared" si="19"/>
        <v>0</v>
      </c>
      <c r="I484" s="51"/>
      <c r="J484" s="52"/>
      <c r="L484" s="53"/>
      <c r="M484" s="54"/>
    </row>
    <row r="485" spans="1:13" ht="15.75" customHeight="1" x14ac:dyDescent="0.2">
      <c r="A485">
        <v>445</v>
      </c>
      <c r="B485" s="33" t="s">
        <v>293</v>
      </c>
      <c r="C485" s="34"/>
      <c r="D485" s="35"/>
      <c r="E485" s="36">
        <f t="shared" si="18"/>
        <v>0</v>
      </c>
      <c r="F485" s="50" t="s">
        <v>28</v>
      </c>
      <c r="G485" s="38">
        <v>960</v>
      </c>
      <c r="H485" s="39">
        <f t="shared" si="19"/>
        <v>0</v>
      </c>
      <c r="I485" s="51"/>
      <c r="J485" s="52"/>
      <c r="L485" s="53"/>
      <c r="M485" s="54"/>
    </row>
    <row r="486" spans="1:13" ht="15.75" customHeight="1" x14ac:dyDescent="0.2">
      <c r="A486">
        <v>446</v>
      </c>
      <c r="B486" s="33" t="s">
        <v>294</v>
      </c>
      <c r="C486" s="34"/>
      <c r="D486" s="35"/>
      <c r="E486" s="36">
        <f t="shared" si="18"/>
        <v>0</v>
      </c>
      <c r="F486" s="50" t="s">
        <v>28</v>
      </c>
      <c r="G486" s="38">
        <v>641</v>
      </c>
      <c r="H486" s="39">
        <f t="shared" si="19"/>
        <v>0</v>
      </c>
      <c r="I486" s="51"/>
      <c r="J486" s="52"/>
      <c r="L486" s="53"/>
      <c r="M486" s="54"/>
    </row>
    <row r="487" spans="1:13" ht="15.75" customHeight="1" x14ac:dyDescent="0.2">
      <c r="A487">
        <v>447</v>
      </c>
      <c r="B487" s="33" t="s">
        <v>295</v>
      </c>
      <c r="C487" s="34"/>
      <c r="D487" s="35"/>
      <c r="E487" s="36">
        <f t="shared" si="18"/>
        <v>0</v>
      </c>
      <c r="F487" s="50" t="s">
        <v>28</v>
      </c>
      <c r="G487" s="38">
        <v>504</v>
      </c>
      <c r="H487" s="39">
        <f t="shared" si="19"/>
        <v>0</v>
      </c>
      <c r="I487" s="51"/>
      <c r="J487" s="52"/>
      <c r="L487" s="53"/>
      <c r="M487" s="54"/>
    </row>
    <row r="488" spans="1:13" ht="15.75" customHeight="1" x14ac:dyDescent="0.2">
      <c r="A488">
        <v>448</v>
      </c>
      <c r="B488" s="33" t="s">
        <v>296</v>
      </c>
      <c r="C488" s="34"/>
      <c r="D488" s="35"/>
      <c r="E488" s="36">
        <f t="shared" ref="E488:E512" si="20">SUM(C488:D488)</f>
        <v>0</v>
      </c>
      <c r="F488" s="50" t="s">
        <v>28</v>
      </c>
      <c r="G488" s="38">
        <v>1595</v>
      </c>
      <c r="H488" s="39">
        <f t="shared" si="19"/>
        <v>0</v>
      </c>
      <c r="I488" s="51"/>
      <c r="J488" s="52"/>
      <c r="L488" s="53"/>
      <c r="M488" s="54"/>
    </row>
    <row r="489" spans="1:13" ht="15.75" customHeight="1" x14ac:dyDescent="0.2">
      <c r="A489">
        <v>449</v>
      </c>
      <c r="B489" s="33" t="s">
        <v>297</v>
      </c>
      <c r="C489" s="34"/>
      <c r="D489" s="35"/>
      <c r="E489" s="36">
        <f t="shared" si="20"/>
        <v>0</v>
      </c>
      <c r="F489" s="50" t="s">
        <v>28</v>
      </c>
      <c r="G489" s="38">
        <v>1307</v>
      </c>
      <c r="H489" s="39">
        <f t="shared" si="19"/>
        <v>0</v>
      </c>
      <c r="I489" s="51"/>
      <c r="J489" s="52"/>
      <c r="L489" s="53"/>
      <c r="M489" s="54"/>
    </row>
    <row r="490" spans="1:13" ht="15.75" customHeight="1" x14ac:dyDescent="0.2">
      <c r="A490">
        <v>450</v>
      </c>
      <c r="B490" s="33" t="s">
        <v>298</v>
      </c>
      <c r="C490" s="34"/>
      <c r="D490" s="35"/>
      <c r="E490" s="36">
        <f t="shared" si="20"/>
        <v>0</v>
      </c>
      <c r="F490" s="50" t="s">
        <v>28</v>
      </c>
      <c r="G490" s="38">
        <v>1115</v>
      </c>
      <c r="H490" s="39">
        <f t="shared" si="19"/>
        <v>0</v>
      </c>
      <c r="I490" s="51"/>
      <c r="J490" s="52"/>
      <c r="L490" s="53"/>
      <c r="M490" s="54"/>
    </row>
    <row r="491" spans="1:13" ht="15.75" customHeight="1" x14ac:dyDescent="0.2">
      <c r="A491">
        <v>451</v>
      </c>
      <c r="B491" s="33" t="s">
        <v>299</v>
      </c>
      <c r="C491" s="34"/>
      <c r="D491" s="35"/>
      <c r="E491" s="36">
        <f t="shared" si="20"/>
        <v>0</v>
      </c>
      <c r="F491" s="50" t="s">
        <v>28</v>
      </c>
      <c r="G491" s="38">
        <v>13680</v>
      </c>
      <c r="H491" s="39">
        <f t="shared" si="19"/>
        <v>0</v>
      </c>
      <c r="I491" s="51"/>
      <c r="J491" s="52"/>
      <c r="L491" s="53"/>
      <c r="M491" s="54"/>
    </row>
    <row r="492" spans="1:13" ht="15.75" customHeight="1" x14ac:dyDescent="0.2">
      <c r="A492">
        <v>452</v>
      </c>
      <c r="B492" s="33" t="s">
        <v>300</v>
      </c>
      <c r="C492" s="34"/>
      <c r="D492" s="35"/>
      <c r="E492" s="36">
        <f t="shared" si="20"/>
        <v>0</v>
      </c>
      <c r="F492" s="50" t="s">
        <v>28</v>
      </c>
      <c r="G492" s="38">
        <v>11002</v>
      </c>
      <c r="H492" s="39">
        <f t="shared" si="19"/>
        <v>0</v>
      </c>
      <c r="I492" s="51"/>
      <c r="J492" s="52"/>
      <c r="L492" s="53"/>
      <c r="M492" s="54"/>
    </row>
    <row r="493" spans="1:13" ht="15.75" customHeight="1" x14ac:dyDescent="0.2">
      <c r="A493">
        <v>453</v>
      </c>
      <c r="B493" s="33" t="s">
        <v>301</v>
      </c>
      <c r="C493" s="34"/>
      <c r="D493" s="35"/>
      <c r="E493" s="36">
        <f t="shared" si="20"/>
        <v>0</v>
      </c>
      <c r="F493" s="50" t="s">
        <v>28</v>
      </c>
      <c r="G493" s="38">
        <v>3834</v>
      </c>
      <c r="H493" s="39">
        <f t="shared" si="19"/>
        <v>0</v>
      </c>
      <c r="I493" s="51"/>
      <c r="J493" s="52"/>
      <c r="L493" s="53"/>
      <c r="M493" s="54"/>
    </row>
    <row r="494" spans="1:13" ht="15.75" customHeight="1" x14ac:dyDescent="0.2">
      <c r="A494">
        <v>454</v>
      </c>
      <c r="B494" s="33" t="s">
        <v>302</v>
      </c>
      <c r="C494" s="34"/>
      <c r="D494" s="35"/>
      <c r="E494" s="36">
        <f t="shared" si="20"/>
        <v>0</v>
      </c>
      <c r="F494" s="50" t="s">
        <v>28</v>
      </c>
      <c r="G494" s="38">
        <v>3477</v>
      </c>
      <c r="H494" s="39">
        <f t="shared" si="19"/>
        <v>0</v>
      </c>
      <c r="I494" s="51"/>
      <c r="J494" s="52"/>
      <c r="L494" s="53"/>
      <c r="M494" s="54"/>
    </row>
    <row r="495" spans="1:13" ht="15.75" customHeight="1" x14ac:dyDescent="0.2">
      <c r="A495">
        <v>455</v>
      </c>
      <c r="B495" s="33" t="s">
        <v>303</v>
      </c>
      <c r="C495" s="34"/>
      <c r="D495" s="35"/>
      <c r="E495" s="36">
        <f t="shared" si="20"/>
        <v>0</v>
      </c>
      <c r="F495" s="50" t="s">
        <v>28</v>
      </c>
      <c r="G495" s="38">
        <v>3274</v>
      </c>
      <c r="H495" s="39">
        <f t="shared" si="19"/>
        <v>0</v>
      </c>
      <c r="I495" s="51"/>
      <c r="J495" s="52"/>
      <c r="L495" s="53"/>
      <c r="M495" s="54"/>
    </row>
    <row r="496" spans="1:13" ht="15.75" customHeight="1" x14ac:dyDescent="0.2">
      <c r="A496">
        <v>456</v>
      </c>
      <c r="B496" s="33" t="s">
        <v>304</v>
      </c>
      <c r="C496" s="34"/>
      <c r="D496" s="35"/>
      <c r="E496" s="36">
        <f t="shared" si="20"/>
        <v>0</v>
      </c>
      <c r="F496" s="50" t="s">
        <v>28</v>
      </c>
      <c r="G496" s="38">
        <v>2569</v>
      </c>
      <c r="H496" s="39">
        <f t="shared" si="19"/>
        <v>0</v>
      </c>
      <c r="I496" s="51"/>
      <c r="J496" s="52"/>
      <c r="L496" s="53"/>
      <c r="M496" s="54"/>
    </row>
    <row r="497" spans="1:13" ht="15.75" customHeight="1" x14ac:dyDescent="0.2">
      <c r="A497">
        <v>457</v>
      </c>
      <c r="B497" s="33" t="s">
        <v>305</v>
      </c>
      <c r="C497" s="34"/>
      <c r="D497" s="35"/>
      <c r="E497" s="36">
        <f t="shared" si="20"/>
        <v>0</v>
      </c>
      <c r="F497" s="50" t="s">
        <v>28</v>
      </c>
      <c r="G497" s="38">
        <v>2164</v>
      </c>
      <c r="H497" s="39">
        <f t="shared" si="19"/>
        <v>0</v>
      </c>
      <c r="I497" s="51"/>
      <c r="J497" s="52"/>
      <c r="L497" s="53"/>
      <c r="M497" s="54"/>
    </row>
    <row r="498" spans="1:13" ht="15.75" customHeight="1" x14ac:dyDescent="0.2">
      <c r="A498">
        <v>458</v>
      </c>
      <c r="B498" s="33" t="s">
        <v>306</v>
      </c>
      <c r="C498" s="34"/>
      <c r="D498" s="35"/>
      <c r="E498" s="36">
        <f t="shared" si="20"/>
        <v>0</v>
      </c>
      <c r="F498" s="50" t="s">
        <v>28</v>
      </c>
      <c r="G498" s="38">
        <v>407</v>
      </c>
      <c r="H498" s="39">
        <f t="shared" si="19"/>
        <v>0</v>
      </c>
      <c r="I498" s="51"/>
      <c r="J498" s="52"/>
      <c r="L498" s="53"/>
      <c r="M498" s="54"/>
    </row>
    <row r="499" spans="1:13" ht="15.75" customHeight="1" x14ac:dyDescent="0.2">
      <c r="A499">
        <v>459</v>
      </c>
      <c r="B499" s="33" t="s">
        <v>307</v>
      </c>
      <c r="C499" s="34"/>
      <c r="D499" s="35"/>
      <c r="E499" s="36">
        <f t="shared" si="20"/>
        <v>0</v>
      </c>
      <c r="F499" s="50" t="s">
        <v>28</v>
      </c>
      <c r="G499" s="38">
        <v>299</v>
      </c>
      <c r="H499" s="39">
        <f t="shared" si="19"/>
        <v>0</v>
      </c>
      <c r="I499" s="51"/>
      <c r="J499" s="52"/>
      <c r="L499" s="53"/>
      <c r="M499" s="54"/>
    </row>
    <row r="500" spans="1:13" ht="15.75" customHeight="1" x14ac:dyDescent="0.2">
      <c r="A500">
        <v>460</v>
      </c>
      <c r="B500" s="33" t="s">
        <v>308</v>
      </c>
      <c r="C500" s="34"/>
      <c r="D500" s="35"/>
      <c r="E500" s="36">
        <f t="shared" si="20"/>
        <v>0</v>
      </c>
      <c r="F500" s="50" t="s">
        <v>28</v>
      </c>
      <c r="G500" s="38">
        <v>247</v>
      </c>
      <c r="H500" s="39">
        <f t="shared" si="19"/>
        <v>0</v>
      </c>
      <c r="I500" s="51"/>
      <c r="J500" s="52"/>
      <c r="L500" s="53"/>
      <c r="M500" s="54"/>
    </row>
    <row r="501" spans="1:13" ht="15.75" customHeight="1" x14ac:dyDescent="0.2">
      <c r="A501">
        <v>461</v>
      </c>
      <c r="B501" s="33" t="s">
        <v>309</v>
      </c>
      <c r="C501" s="34"/>
      <c r="D501" s="35"/>
      <c r="E501" s="36">
        <f t="shared" si="20"/>
        <v>0</v>
      </c>
      <c r="F501" s="50" t="s">
        <v>28</v>
      </c>
      <c r="G501" s="38">
        <v>173</v>
      </c>
      <c r="H501" s="39">
        <f t="shared" si="19"/>
        <v>0</v>
      </c>
      <c r="I501" s="51"/>
      <c r="J501" s="52"/>
      <c r="L501" s="53"/>
      <c r="M501" s="54"/>
    </row>
    <row r="502" spans="1:13" ht="15.75" customHeight="1" x14ac:dyDescent="0.2">
      <c r="A502">
        <v>462</v>
      </c>
      <c r="B502" s="33" t="s">
        <v>310</v>
      </c>
      <c r="C502" s="34"/>
      <c r="D502" s="35"/>
      <c r="E502" s="36">
        <f t="shared" si="20"/>
        <v>0</v>
      </c>
      <c r="F502" s="50" t="s">
        <v>28</v>
      </c>
      <c r="G502" s="38">
        <v>136</v>
      </c>
      <c r="H502" s="39">
        <f t="shared" si="19"/>
        <v>0</v>
      </c>
      <c r="I502" s="51"/>
      <c r="J502" s="52"/>
      <c r="L502" s="53"/>
      <c r="M502" s="54"/>
    </row>
    <row r="503" spans="1:13" ht="15.75" customHeight="1" x14ac:dyDescent="0.2">
      <c r="A503">
        <v>463</v>
      </c>
      <c r="B503" s="33" t="s">
        <v>311</v>
      </c>
      <c r="C503" s="34"/>
      <c r="D503" s="35"/>
      <c r="E503" s="36">
        <f t="shared" si="20"/>
        <v>0</v>
      </c>
      <c r="F503" s="50" t="s">
        <v>28</v>
      </c>
      <c r="G503" s="38">
        <v>118</v>
      </c>
      <c r="H503" s="39">
        <f t="shared" ref="H503:H566" si="21">E503*G503</f>
        <v>0</v>
      </c>
      <c r="I503" s="51"/>
      <c r="J503" s="52"/>
      <c r="L503" s="53"/>
      <c r="M503" s="54"/>
    </row>
    <row r="504" spans="1:13" ht="15.75" customHeight="1" x14ac:dyDescent="0.2">
      <c r="A504">
        <v>464</v>
      </c>
      <c r="B504" s="33" t="s">
        <v>322</v>
      </c>
      <c r="C504" s="34"/>
      <c r="D504" s="35"/>
      <c r="E504" s="36">
        <f t="shared" si="20"/>
        <v>0</v>
      </c>
      <c r="F504" s="50" t="s">
        <v>28</v>
      </c>
      <c r="G504" s="38">
        <v>970</v>
      </c>
      <c r="H504" s="39">
        <f t="shared" si="21"/>
        <v>0</v>
      </c>
      <c r="I504" s="51"/>
      <c r="J504" s="52"/>
      <c r="L504" s="53"/>
      <c r="M504" s="54"/>
    </row>
    <row r="505" spans="1:13" ht="15.75" customHeight="1" x14ac:dyDescent="0.2">
      <c r="A505">
        <v>465</v>
      </c>
      <c r="B505" s="33" t="s">
        <v>313</v>
      </c>
      <c r="C505" s="34"/>
      <c r="D505" s="35"/>
      <c r="E505" s="36">
        <f t="shared" si="20"/>
        <v>0</v>
      </c>
      <c r="F505" s="50" t="s">
        <v>28</v>
      </c>
      <c r="G505" s="38">
        <v>900</v>
      </c>
      <c r="H505" s="39">
        <f t="shared" si="21"/>
        <v>0</v>
      </c>
      <c r="I505" s="51"/>
      <c r="J505" s="52"/>
      <c r="L505" s="53"/>
      <c r="M505" s="54"/>
    </row>
    <row r="506" spans="1:13" ht="15.75" customHeight="1" x14ac:dyDescent="0.2">
      <c r="A506">
        <v>466</v>
      </c>
      <c r="B506" s="33" t="s">
        <v>314</v>
      </c>
      <c r="C506" s="34"/>
      <c r="D506" s="35"/>
      <c r="E506" s="36">
        <f t="shared" si="20"/>
        <v>0</v>
      </c>
      <c r="F506" s="50" t="s">
        <v>28</v>
      </c>
      <c r="G506" s="38">
        <v>832</v>
      </c>
      <c r="H506" s="39">
        <f t="shared" si="21"/>
        <v>0</v>
      </c>
      <c r="I506" s="51"/>
      <c r="J506" s="52"/>
      <c r="L506" s="53"/>
      <c r="M506" s="54"/>
    </row>
    <row r="507" spans="1:13" ht="15.75" customHeight="1" x14ac:dyDescent="0.2">
      <c r="A507">
        <v>467</v>
      </c>
      <c r="B507" s="33" t="s">
        <v>315</v>
      </c>
      <c r="C507" s="34"/>
      <c r="D507" s="35"/>
      <c r="E507" s="36">
        <f t="shared" si="20"/>
        <v>0</v>
      </c>
      <c r="F507" s="50" t="s">
        <v>28</v>
      </c>
      <c r="G507" s="38">
        <v>486</v>
      </c>
      <c r="H507" s="39">
        <f t="shared" si="21"/>
        <v>0</v>
      </c>
      <c r="I507" s="51"/>
      <c r="J507" s="52"/>
      <c r="L507" s="53"/>
      <c r="M507" s="54"/>
    </row>
    <row r="508" spans="1:13" ht="15.75" customHeight="1" x14ac:dyDescent="0.2">
      <c r="A508">
        <v>468</v>
      </c>
      <c r="B508" s="33" t="s">
        <v>316</v>
      </c>
      <c r="C508" s="34"/>
      <c r="D508" s="35"/>
      <c r="E508" s="36">
        <f t="shared" si="20"/>
        <v>0</v>
      </c>
      <c r="F508" s="50" t="s">
        <v>28</v>
      </c>
      <c r="G508" s="38">
        <v>426</v>
      </c>
      <c r="H508" s="39">
        <f t="shared" si="21"/>
        <v>0</v>
      </c>
      <c r="I508" s="51"/>
      <c r="J508" s="52"/>
      <c r="L508" s="53"/>
      <c r="M508" s="54"/>
    </row>
    <row r="509" spans="1:13" ht="15.75" customHeight="1" x14ac:dyDescent="0.2">
      <c r="A509">
        <v>469</v>
      </c>
      <c r="B509" s="33" t="s">
        <v>317</v>
      </c>
      <c r="C509" s="34"/>
      <c r="D509" s="35"/>
      <c r="E509" s="36">
        <f t="shared" si="20"/>
        <v>0</v>
      </c>
      <c r="F509" s="50" t="s">
        <v>28</v>
      </c>
      <c r="G509" s="38">
        <v>363</v>
      </c>
      <c r="H509" s="39">
        <f t="shared" si="21"/>
        <v>0</v>
      </c>
      <c r="I509" s="51"/>
      <c r="J509" s="52"/>
      <c r="L509" s="53"/>
      <c r="M509" s="54"/>
    </row>
    <row r="510" spans="1:13" ht="15.75" customHeight="1" x14ac:dyDescent="0.2">
      <c r="A510">
        <v>470</v>
      </c>
      <c r="B510" s="33" t="s">
        <v>318</v>
      </c>
      <c r="C510" s="34"/>
      <c r="D510" s="35"/>
      <c r="E510" s="36">
        <f t="shared" si="20"/>
        <v>0</v>
      </c>
      <c r="F510" s="50" t="s">
        <v>28</v>
      </c>
      <c r="G510" s="38">
        <v>141</v>
      </c>
      <c r="H510" s="39">
        <f t="shared" si="21"/>
        <v>0</v>
      </c>
      <c r="I510" s="51"/>
      <c r="J510" s="52"/>
      <c r="L510" s="53"/>
      <c r="M510" s="54"/>
    </row>
    <row r="511" spans="1:13" ht="15.75" customHeight="1" x14ac:dyDescent="0.2">
      <c r="A511">
        <v>471</v>
      </c>
      <c r="B511" s="33" t="s">
        <v>319</v>
      </c>
      <c r="C511" s="34"/>
      <c r="D511" s="35"/>
      <c r="E511" s="36">
        <f t="shared" si="20"/>
        <v>0</v>
      </c>
      <c r="F511" s="50" t="s">
        <v>28</v>
      </c>
      <c r="G511" s="38">
        <v>754</v>
      </c>
      <c r="H511" s="39">
        <f t="shared" si="21"/>
        <v>0</v>
      </c>
      <c r="I511" s="51"/>
      <c r="J511" s="52"/>
      <c r="L511" s="53"/>
      <c r="M511" s="54"/>
    </row>
    <row r="512" spans="1:13" ht="15.75" customHeight="1" x14ac:dyDescent="0.2">
      <c r="A512">
        <v>472</v>
      </c>
      <c r="B512" s="33" t="s">
        <v>323</v>
      </c>
      <c r="C512" s="34"/>
      <c r="D512" s="35"/>
      <c r="E512" s="36">
        <f t="shared" si="20"/>
        <v>0</v>
      </c>
      <c r="F512" s="50" t="s">
        <v>28</v>
      </c>
      <c r="G512" s="38">
        <v>41</v>
      </c>
      <c r="H512" s="39">
        <f t="shared" si="21"/>
        <v>0</v>
      </c>
      <c r="I512" s="51"/>
      <c r="J512" s="52"/>
      <c r="L512" s="53"/>
      <c r="M512" s="54"/>
    </row>
    <row r="513" spans="1:10" ht="15.75" customHeight="1" x14ac:dyDescent="0.2">
      <c r="A513">
        <v>473</v>
      </c>
      <c r="B513" s="33"/>
      <c r="C513" s="34"/>
      <c r="D513" s="35"/>
      <c r="E513" s="36"/>
      <c r="F513" s="50"/>
      <c r="G513" s="38"/>
      <c r="H513" s="39">
        <f t="shared" si="21"/>
        <v>0</v>
      </c>
      <c r="I513" s="51"/>
      <c r="J513" s="51"/>
    </row>
    <row r="514" spans="1:10" s="19" customFormat="1" ht="33.75" customHeight="1" x14ac:dyDescent="0.3">
      <c r="A514" s="19">
        <v>474</v>
      </c>
      <c r="B514" s="88" t="s">
        <v>324</v>
      </c>
      <c r="C514" s="21"/>
      <c r="D514" s="22"/>
      <c r="E514" s="48"/>
      <c r="F514" s="59"/>
      <c r="G514" s="31"/>
      <c r="H514" s="49">
        <f t="shared" si="21"/>
        <v>0</v>
      </c>
      <c r="I514" s="51"/>
      <c r="J514" s="51"/>
    </row>
    <row r="515" spans="1:10" ht="15.75" customHeight="1" x14ac:dyDescent="0.2">
      <c r="A515">
        <v>475</v>
      </c>
      <c r="B515" s="33" t="s">
        <v>206</v>
      </c>
      <c r="C515" s="34"/>
      <c r="D515" s="35"/>
      <c r="E515" s="36">
        <f t="shared" ref="E515:E578" si="22">SUM(C515:D515)</f>
        <v>0</v>
      </c>
      <c r="F515" s="50" t="s">
        <v>22</v>
      </c>
      <c r="G515" s="38">
        <v>403</v>
      </c>
      <c r="H515" s="39">
        <f t="shared" si="21"/>
        <v>0</v>
      </c>
      <c r="I515" s="51"/>
      <c r="J515" s="51"/>
    </row>
    <row r="516" spans="1:10" ht="15.75" customHeight="1" x14ac:dyDescent="0.2">
      <c r="A516">
        <v>476</v>
      </c>
      <c r="B516" s="33" t="s">
        <v>207</v>
      </c>
      <c r="C516" s="34"/>
      <c r="D516" s="35"/>
      <c r="E516" s="36">
        <f t="shared" si="22"/>
        <v>0</v>
      </c>
      <c r="F516" s="50" t="s">
        <v>22</v>
      </c>
      <c r="G516" s="38">
        <v>336</v>
      </c>
      <c r="H516" s="39">
        <f t="shared" si="21"/>
        <v>0</v>
      </c>
      <c r="I516" s="51"/>
      <c r="J516" s="51"/>
    </row>
    <row r="517" spans="1:10" ht="15.75" customHeight="1" x14ac:dyDescent="0.2">
      <c r="A517">
        <v>477</v>
      </c>
      <c r="B517" s="33" t="s">
        <v>208</v>
      </c>
      <c r="C517" s="34"/>
      <c r="D517" s="35"/>
      <c r="E517" s="36">
        <f t="shared" si="22"/>
        <v>0</v>
      </c>
      <c r="F517" s="50" t="s">
        <v>22</v>
      </c>
      <c r="G517" s="38">
        <v>245</v>
      </c>
      <c r="H517" s="39">
        <f t="shared" si="21"/>
        <v>0</v>
      </c>
      <c r="I517" s="51"/>
      <c r="J517" s="51"/>
    </row>
    <row r="518" spans="1:10" ht="15.75" customHeight="1" x14ac:dyDescent="0.2">
      <c r="A518">
        <v>478</v>
      </c>
      <c r="B518" s="33" t="s">
        <v>209</v>
      </c>
      <c r="C518" s="34"/>
      <c r="D518" s="35"/>
      <c r="E518" s="36">
        <f t="shared" si="22"/>
        <v>0</v>
      </c>
      <c r="F518" s="50" t="s">
        <v>22</v>
      </c>
      <c r="G518" s="38">
        <v>220</v>
      </c>
      <c r="H518" s="39">
        <f t="shared" si="21"/>
        <v>0</v>
      </c>
      <c r="I518" s="51"/>
      <c r="J518" s="51"/>
    </row>
    <row r="519" spans="1:10" ht="15.75" customHeight="1" x14ac:dyDescent="0.2">
      <c r="A519">
        <v>479</v>
      </c>
      <c r="B519" s="33" t="s">
        <v>210</v>
      </c>
      <c r="C519" s="34"/>
      <c r="D519" s="35"/>
      <c r="E519" s="36">
        <f t="shared" si="22"/>
        <v>0</v>
      </c>
      <c r="F519" s="50" t="s">
        <v>22</v>
      </c>
      <c r="G519" s="38">
        <v>162</v>
      </c>
      <c r="H519" s="39">
        <f t="shared" si="21"/>
        <v>0</v>
      </c>
      <c r="I519" s="51"/>
      <c r="J519" s="51"/>
    </row>
    <row r="520" spans="1:10" ht="15.75" customHeight="1" x14ac:dyDescent="0.2">
      <c r="A520">
        <v>480</v>
      </c>
      <c r="B520" s="33" t="s">
        <v>211</v>
      </c>
      <c r="C520" s="34"/>
      <c r="D520" s="35"/>
      <c r="E520" s="36">
        <f t="shared" si="22"/>
        <v>0</v>
      </c>
      <c r="F520" s="50" t="s">
        <v>22</v>
      </c>
      <c r="G520" s="38">
        <v>140</v>
      </c>
      <c r="H520" s="39">
        <f t="shared" si="21"/>
        <v>0</v>
      </c>
      <c r="I520" s="51"/>
      <c r="J520" s="51"/>
    </row>
    <row r="521" spans="1:10" ht="15.75" customHeight="1" x14ac:dyDescent="0.2">
      <c r="A521">
        <v>481</v>
      </c>
      <c r="B521" s="33" t="s">
        <v>212</v>
      </c>
      <c r="C521" s="34"/>
      <c r="D521" s="35"/>
      <c r="E521" s="36">
        <f t="shared" si="22"/>
        <v>0</v>
      </c>
      <c r="F521" s="50" t="s">
        <v>22</v>
      </c>
      <c r="G521" s="38">
        <v>127</v>
      </c>
      <c r="H521" s="39">
        <f t="shared" si="21"/>
        <v>0</v>
      </c>
      <c r="I521" s="51"/>
      <c r="J521" s="51"/>
    </row>
    <row r="522" spans="1:10" ht="15.75" customHeight="1" x14ac:dyDescent="0.2">
      <c r="A522">
        <v>482</v>
      </c>
      <c r="B522" s="33" t="s">
        <v>213</v>
      </c>
      <c r="C522" s="34"/>
      <c r="D522" s="35"/>
      <c r="E522" s="36">
        <f t="shared" si="22"/>
        <v>0</v>
      </c>
      <c r="F522" s="50" t="s">
        <v>22</v>
      </c>
      <c r="G522" s="38">
        <v>79</v>
      </c>
      <c r="H522" s="39">
        <f t="shared" si="21"/>
        <v>0</v>
      </c>
      <c r="I522" s="51"/>
      <c r="J522" s="51"/>
    </row>
    <row r="523" spans="1:10" ht="15.75" customHeight="1" x14ac:dyDescent="0.2">
      <c r="A523">
        <v>483</v>
      </c>
      <c r="B523" s="33" t="s">
        <v>214</v>
      </c>
      <c r="C523" s="34"/>
      <c r="D523" s="35"/>
      <c r="E523" s="36">
        <f t="shared" si="22"/>
        <v>0</v>
      </c>
      <c r="F523" s="50" t="s">
        <v>22</v>
      </c>
      <c r="G523" s="38">
        <v>67</v>
      </c>
      <c r="H523" s="39">
        <f t="shared" si="21"/>
        <v>0</v>
      </c>
      <c r="I523" s="51"/>
      <c r="J523" s="51"/>
    </row>
    <row r="524" spans="1:10" ht="15.75" customHeight="1" x14ac:dyDescent="0.2">
      <c r="A524">
        <v>484</v>
      </c>
      <c r="B524" s="33" t="s">
        <v>217</v>
      </c>
      <c r="C524" s="34"/>
      <c r="D524" s="35"/>
      <c r="E524" s="36">
        <f t="shared" si="22"/>
        <v>0</v>
      </c>
      <c r="F524" s="50" t="s">
        <v>28</v>
      </c>
      <c r="G524" s="38">
        <v>233</v>
      </c>
      <c r="H524" s="39">
        <f t="shared" si="21"/>
        <v>0</v>
      </c>
      <c r="I524" s="51"/>
      <c r="J524" s="51"/>
    </row>
    <row r="525" spans="1:10" ht="15.75" customHeight="1" x14ac:dyDescent="0.2">
      <c r="A525">
        <v>485</v>
      </c>
      <c r="B525" s="33" t="s">
        <v>218</v>
      </c>
      <c r="C525" s="34"/>
      <c r="D525" s="35"/>
      <c r="E525" s="36">
        <f t="shared" si="22"/>
        <v>0</v>
      </c>
      <c r="F525" s="50" t="s">
        <v>28</v>
      </c>
      <c r="G525" s="38">
        <v>168</v>
      </c>
      <c r="H525" s="39">
        <f t="shared" si="21"/>
        <v>0</v>
      </c>
      <c r="I525" s="51"/>
      <c r="J525" s="51"/>
    </row>
    <row r="526" spans="1:10" ht="15.75" customHeight="1" x14ac:dyDescent="0.2">
      <c r="A526">
        <v>486</v>
      </c>
      <c r="B526" s="33" t="s">
        <v>219</v>
      </c>
      <c r="C526" s="34"/>
      <c r="D526" s="35"/>
      <c r="E526" s="36">
        <f t="shared" si="22"/>
        <v>0</v>
      </c>
      <c r="F526" s="50" t="s">
        <v>28</v>
      </c>
      <c r="G526" s="38">
        <v>125</v>
      </c>
      <c r="H526" s="39">
        <f t="shared" si="21"/>
        <v>0</v>
      </c>
      <c r="I526" s="51"/>
      <c r="J526" s="51"/>
    </row>
    <row r="527" spans="1:10" ht="15.75" customHeight="1" x14ac:dyDescent="0.2">
      <c r="A527">
        <v>487</v>
      </c>
      <c r="B527" s="33" t="s">
        <v>220</v>
      </c>
      <c r="C527" s="34"/>
      <c r="D527" s="35"/>
      <c r="E527" s="36">
        <f t="shared" si="22"/>
        <v>0</v>
      </c>
      <c r="F527" s="50" t="s">
        <v>28</v>
      </c>
      <c r="G527" s="38">
        <v>100</v>
      </c>
      <c r="H527" s="39">
        <f t="shared" si="21"/>
        <v>0</v>
      </c>
      <c r="I527" s="51"/>
      <c r="J527" s="51"/>
    </row>
    <row r="528" spans="1:10" ht="15.75" customHeight="1" x14ac:dyDescent="0.2">
      <c r="A528">
        <v>488</v>
      </c>
      <c r="B528" s="33" t="s">
        <v>221</v>
      </c>
      <c r="C528" s="34"/>
      <c r="D528" s="35"/>
      <c r="E528" s="36">
        <f t="shared" si="22"/>
        <v>0</v>
      </c>
      <c r="F528" s="50" t="s">
        <v>28</v>
      </c>
      <c r="G528" s="38">
        <v>83</v>
      </c>
      <c r="H528" s="39">
        <f t="shared" si="21"/>
        <v>0</v>
      </c>
      <c r="I528" s="51"/>
      <c r="J528" s="51"/>
    </row>
    <row r="529" spans="1:14" ht="15.75" customHeight="1" x14ac:dyDescent="0.2">
      <c r="A529">
        <v>489</v>
      </c>
      <c r="B529" s="33" t="s">
        <v>222</v>
      </c>
      <c r="C529" s="34"/>
      <c r="D529" s="35"/>
      <c r="E529" s="36">
        <f t="shared" si="22"/>
        <v>0</v>
      </c>
      <c r="F529" s="50" t="s">
        <v>28</v>
      </c>
      <c r="G529" s="38">
        <v>62</v>
      </c>
      <c r="H529" s="39">
        <f t="shared" si="21"/>
        <v>0</v>
      </c>
      <c r="I529" s="51"/>
      <c r="J529" s="51"/>
    </row>
    <row r="530" spans="1:14" ht="15.75" customHeight="1" x14ac:dyDescent="0.2">
      <c r="A530">
        <v>490</v>
      </c>
      <c r="B530" s="33" t="s">
        <v>223</v>
      </c>
      <c r="C530" s="34"/>
      <c r="D530" s="35"/>
      <c r="E530" s="36">
        <f t="shared" si="22"/>
        <v>0</v>
      </c>
      <c r="F530" s="50" t="s">
        <v>28</v>
      </c>
      <c r="G530" s="38">
        <v>54</v>
      </c>
      <c r="H530" s="39">
        <f t="shared" si="21"/>
        <v>0</v>
      </c>
      <c r="I530" s="51"/>
      <c r="J530" s="51"/>
    </row>
    <row r="531" spans="1:14" ht="15.75" customHeight="1" x14ac:dyDescent="0.2">
      <c r="A531">
        <v>491</v>
      </c>
      <c r="B531" s="33" t="s">
        <v>224</v>
      </c>
      <c r="C531" s="34"/>
      <c r="D531" s="35"/>
      <c r="E531" s="36">
        <f t="shared" si="22"/>
        <v>0</v>
      </c>
      <c r="F531" s="50" t="s">
        <v>28</v>
      </c>
      <c r="G531" s="38">
        <v>47</v>
      </c>
      <c r="H531" s="39">
        <f t="shared" si="21"/>
        <v>0</v>
      </c>
      <c r="I531" s="51"/>
      <c r="J531" s="51"/>
    </row>
    <row r="532" spans="1:14" ht="15.75" customHeight="1" x14ac:dyDescent="0.2">
      <c r="A532">
        <v>492</v>
      </c>
      <c r="B532" s="33" t="s">
        <v>225</v>
      </c>
      <c r="C532" s="34"/>
      <c r="D532" s="35"/>
      <c r="E532" s="36">
        <f t="shared" si="22"/>
        <v>0</v>
      </c>
      <c r="F532" s="50" t="s">
        <v>28</v>
      </c>
      <c r="G532" s="38">
        <v>37</v>
      </c>
      <c r="H532" s="39">
        <f t="shared" si="21"/>
        <v>0</v>
      </c>
      <c r="I532" s="51"/>
      <c r="J532" s="51"/>
    </row>
    <row r="533" spans="1:14" ht="15.75" customHeight="1" x14ac:dyDescent="0.2">
      <c r="A533">
        <v>493</v>
      </c>
      <c r="B533" s="33" t="s">
        <v>228</v>
      </c>
      <c r="C533" s="34"/>
      <c r="D533" s="35"/>
      <c r="E533" s="36">
        <f t="shared" si="22"/>
        <v>0</v>
      </c>
      <c r="F533" s="50" t="s">
        <v>28</v>
      </c>
      <c r="G533" s="38">
        <v>270</v>
      </c>
      <c r="H533" s="39">
        <f t="shared" si="21"/>
        <v>0</v>
      </c>
      <c r="I533" s="51"/>
      <c r="J533" s="51"/>
    </row>
    <row r="534" spans="1:14" ht="15.75" customHeight="1" x14ac:dyDescent="0.2">
      <c r="A534">
        <v>494</v>
      </c>
      <c r="B534" s="33" t="s">
        <v>229</v>
      </c>
      <c r="C534" s="34"/>
      <c r="D534" s="35"/>
      <c r="E534" s="36">
        <f t="shared" si="22"/>
        <v>0</v>
      </c>
      <c r="F534" s="50" t="s">
        <v>28</v>
      </c>
      <c r="G534" s="38">
        <v>195</v>
      </c>
      <c r="H534" s="39">
        <f t="shared" si="21"/>
        <v>0</v>
      </c>
      <c r="I534" s="51"/>
      <c r="J534" s="51"/>
    </row>
    <row r="535" spans="1:14" ht="15.75" customHeight="1" x14ac:dyDescent="0.2">
      <c r="A535">
        <v>495</v>
      </c>
      <c r="B535" s="33" t="s">
        <v>230</v>
      </c>
      <c r="C535" s="34"/>
      <c r="D535" s="35"/>
      <c r="E535" s="36">
        <f t="shared" si="22"/>
        <v>0</v>
      </c>
      <c r="F535" s="50" t="s">
        <v>28</v>
      </c>
      <c r="G535" s="38">
        <v>171</v>
      </c>
      <c r="H535" s="39">
        <f t="shared" si="21"/>
        <v>0</v>
      </c>
      <c r="I535" s="51"/>
      <c r="J535" s="51"/>
    </row>
    <row r="536" spans="1:14" ht="15.75" customHeight="1" x14ac:dyDescent="0.2">
      <c r="A536">
        <v>496</v>
      </c>
      <c r="B536" s="33" t="s">
        <v>231</v>
      </c>
      <c r="C536" s="34"/>
      <c r="D536" s="35"/>
      <c r="E536" s="36">
        <f t="shared" si="22"/>
        <v>0</v>
      </c>
      <c r="F536" s="50" t="s">
        <v>28</v>
      </c>
      <c r="G536" s="38">
        <v>141</v>
      </c>
      <c r="H536" s="39">
        <f t="shared" si="21"/>
        <v>0</v>
      </c>
      <c r="I536" s="51"/>
      <c r="J536" s="51"/>
    </row>
    <row r="537" spans="1:14" ht="15.75" customHeight="1" x14ac:dyDescent="0.2">
      <c r="A537">
        <v>497</v>
      </c>
      <c r="B537" s="33" t="s">
        <v>232</v>
      </c>
      <c r="C537" s="34"/>
      <c r="D537" s="35"/>
      <c r="E537" s="36">
        <f t="shared" si="22"/>
        <v>0</v>
      </c>
      <c r="F537" s="50" t="s">
        <v>28</v>
      </c>
      <c r="G537" s="38">
        <v>116</v>
      </c>
      <c r="H537" s="39">
        <f t="shared" si="21"/>
        <v>0</v>
      </c>
      <c r="I537" s="51"/>
      <c r="J537" s="51"/>
    </row>
    <row r="538" spans="1:14" ht="15.75" customHeight="1" x14ac:dyDescent="0.2">
      <c r="A538">
        <v>498</v>
      </c>
      <c r="B538" s="33" t="s">
        <v>233</v>
      </c>
      <c r="C538" s="34"/>
      <c r="D538" s="35"/>
      <c r="E538" s="36">
        <f t="shared" si="22"/>
        <v>0</v>
      </c>
      <c r="F538" s="50" t="s">
        <v>28</v>
      </c>
      <c r="G538" s="38">
        <v>85</v>
      </c>
      <c r="H538" s="39">
        <f t="shared" si="21"/>
        <v>0</v>
      </c>
      <c r="I538" s="51"/>
      <c r="J538" s="51"/>
    </row>
    <row r="539" spans="1:14" ht="15.75" customHeight="1" x14ac:dyDescent="0.2">
      <c r="A539">
        <v>499</v>
      </c>
      <c r="B539" s="33" t="s">
        <v>234</v>
      </c>
      <c r="C539" s="34"/>
      <c r="D539" s="35"/>
      <c r="E539" s="36">
        <f t="shared" si="22"/>
        <v>0</v>
      </c>
      <c r="F539" s="50" t="s">
        <v>28</v>
      </c>
      <c r="G539" s="38">
        <v>58</v>
      </c>
      <c r="H539" s="39">
        <f t="shared" si="21"/>
        <v>0</v>
      </c>
      <c r="I539" s="51"/>
      <c r="J539" s="51"/>
    </row>
    <row r="540" spans="1:14" ht="15.75" customHeight="1" x14ac:dyDescent="0.2">
      <c r="A540">
        <v>500</v>
      </c>
      <c r="B540" s="33" t="s">
        <v>235</v>
      </c>
      <c r="C540" s="34"/>
      <c r="D540" s="35"/>
      <c r="E540" s="36">
        <f t="shared" si="22"/>
        <v>0</v>
      </c>
      <c r="F540" s="50" t="s">
        <v>28</v>
      </c>
      <c r="G540" s="38">
        <v>42</v>
      </c>
      <c r="H540" s="39">
        <f t="shared" si="21"/>
        <v>0</v>
      </c>
      <c r="I540" s="51"/>
      <c r="J540" s="51"/>
    </row>
    <row r="541" spans="1:14" ht="15.75" customHeight="1" x14ac:dyDescent="0.2">
      <c r="A541">
        <v>501</v>
      </c>
      <c r="B541" s="33" t="s">
        <v>236</v>
      </c>
      <c r="C541" s="34"/>
      <c r="D541" s="35"/>
      <c r="E541" s="36">
        <f t="shared" si="22"/>
        <v>0</v>
      </c>
      <c r="F541" s="50" t="s">
        <v>28</v>
      </c>
      <c r="G541" s="38">
        <v>35</v>
      </c>
      <c r="H541" s="39">
        <f t="shared" si="21"/>
        <v>0</v>
      </c>
      <c r="I541" s="51"/>
      <c r="J541" s="51"/>
    </row>
    <row r="542" spans="1:14" ht="15.75" customHeight="1" x14ac:dyDescent="0.2">
      <c r="A542">
        <v>502</v>
      </c>
      <c r="B542" s="33" t="s">
        <v>325</v>
      </c>
      <c r="C542" s="34"/>
      <c r="D542" s="35"/>
      <c r="E542" s="36">
        <f t="shared" si="22"/>
        <v>0</v>
      </c>
      <c r="F542" s="50" t="s">
        <v>28</v>
      </c>
      <c r="G542" s="38">
        <v>215</v>
      </c>
      <c r="H542" s="39">
        <f t="shared" si="21"/>
        <v>0</v>
      </c>
      <c r="I542" s="51"/>
      <c r="J542" s="52"/>
      <c r="L542" s="53"/>
      <c r="M542" s="54"/>
      <c r="N542" s="55"/>
    </row>
    <row r="543" spans="1:14" ht="15.75" customHeight="1" x14ac:dyDescent="0.2">
      <c r="A543">
        <v>503</v>
      </c>
      <c r="B543" s="33" t="s">
        <v>326</v>
      </c>
      <c r="C543" s="34"/>
      <c r="D543" s="35"/>
      <c r="E543" s="36">
        <f t="shared" si="22"/>
        <v>0</v>
      </c>
      <c r="F543" s="50" t="s">
        <v>28</v>
      </c>
      <c r="G543" s="38">
        <v>197</v>
      </c>
      <c r="H543" s="39">
        <f t="shared" si="21"/>
        <v>0</v>
      </c>
      <c r="I543" s="51"/>
      <c r="J543" s="52"/>
      <c r="L543" s="53"/>
      <c r="M543" s="54"/>
      <c r="N543" s="55"/>
    </row>
    <row r="544" spans="1:14" ht="15.75" customHeight="1" x14ac:dyDescent="0.2">
      <c r="A544">
        <v>504</v>
      </c>
      <c r="B544" s="33" t="s">
        <v>327</v>
      </c>
      <c r="C544" s="34"/>
      <c r="D544" s="35"/>
      <c r="E544" s="36">
        <f t="shared" si="22"/>
        <v>0</v>
      </c>
      <c r="F544" s="50" t="s">
        <v>28</v>
      </c>
      <c r="G544" s="38">
        <v>178</v>
      </c>
      <c r="H544" s="39">
        <f t="shared" si="21"/>
        <v>0</v>
      </c>
      <c r="I544" s="51"/>
      <c r="J544" s="52"/>
      <c r="L544" s="53"/>
      <c r="M544" s="54"/>
      <c r="N544" s="55"/>
    </row>
    <row r="545" spans="1:14" ht="15.75" customHeight="1" x14ac:dyDescent="0.2">
      <c r="A545">
        <v>505</v>
      </c>
      <c r="B545" s="33" t="s">
        <v>328</v>
      </c>
      <c r="C545" s="34"/>
      <c r="D545" s="35"/>
      <c r="E545" s="36">
        <f t="shared" si="22"/>
        <v>0</v>
      </c>
      <c r="F545" s="50" t="s">
        <v>28</v>
      </c>
      <c r="G545" s="38">
        <v>162</v>
      </c>
      <c r="H545" s="39">
        <f t="shared" si="21"/>
        <v>0</v>
      </c>
      <c r="I545" s="51"/>
      <c r="J545" s="52"/>
      <c r="L545" s="53"/>
      <c r="M545" s="54"/>
      <c r="N545" s="55"/>
    </row>
    <row r="546" spans="1:14" ht="15.75" customHeight="1" x14ac:dyDescent="0.2">
      <c r="A546">
        <v>506</v>
      </c>
      <c r="B546" s="33" t="s">
        <v>329</v>
      </c>
      <c r="C546" s="34"/>
      <c r="D546" s="35"/>
      <c r="E546" s="36">
        <f t="shared" si="22"/>
        <v>0</v>
      </c>
      <c r="F546" s="50" t="s">
        <v>28</v>
      </c>
      <c r="G546" s="38">
        <v>150</v>
      </c>
      <c r="H546" s="39">
        <f t="shared" si="21"/>
        <v>0</v>
      </c>
      <c r="I546" s="51"/>
      <c r="J546" s="52"/>
      <c r="L546" s="53"/>
      <c r="M546" s="54"/>
      <c r="N546" s="55"/>
    </row>
    <row r="547" spans="1:14" ht="15.75" customHeight="1" x14ac:dyDescent="0.2">
      <c r="A547">
        <v>507</v>
      </c>
      <c r="B547" s="33" t="s">
        <v>330</v>
      </c>
      <c r="C547" s="34"/>
      <c r="D547" s="35"/>
      <c r="E547" s="36">
        <f t="shared" si="22"/>
        <v>0</v>
      </c>
      <c r="F547" s="50" t="s">
        <v>28</v>
      </c>
      <c r="G547" s="38">
        <v>123</v>
      </c>
      <c r="H547" s="39">
        <f t="shared" si="21"/>
        <v>0</v>
      </c>
      <c r="I547" s="51"/>
      <c r="J547" s="52"/>
      <c r="L547" s="53"/>
      <c r="M547" s="54"/>
      <c r="N547" s="55"/>
    </row>
    <row r="548" spans="1:14" ht="15.75" customHeight="1" x14ac:dyDescent="0.2">
      <c r="A548">
        <v>508</v>
      </c>
      <c r="B548" s="33" t="s">
        <v>331</v>
      </c>
      <c r="C548" s="34"/>
      <c r="D548" s="35"/>
      <c r="E548" s="36">
        <f t="shared" si="22"/>
        <v>0</v>
      </c>
      <c r="F548" s="50" t="s">
        <v>28</v>
      </c>
      <c r="G548" s="38">
        <v>111</v>
      </c>
      <c r="H548" s="39">
        <f t="shared" si="21"/>
        <v>0</v>
      </c>
      <c r="I548" s="51"/>
      <c r="J548" s="52"/>
      <c r="L548" s="53"/>
      <c r="M548" s="54"/>
      <c r="N548" s="55"/>
    </row>
    <row r="549" spans="1:14" ht="15.75" customHeight="1" x14ac:dyDescent="0.2">
      <c r="A549">
        <v>509</v>
      </c>
      <c r="B549" s="33" t="s">
        <v>332</v>
      </c>
      <c r="C549" s="34"/>
      <c r="D549" s="35"/>
      <c r="E549" s="36">
        <f t="shared" si="22"/>
        <v>0</v>
      </c>
      <c r="F549" s="50" t="s">
        <v>28</v>
      </c>
      <c r="G549" s="38">
        <v>104</v>
      </c>
      <c r="H549" s="39">
        <f t="shared" si="21"/>
        <v>0</v>
      </c>
      <c r="I549" s="51"/>
      <c r="J549" s="52"/>
      <c r="L549" s="53"/>
      <c r="M549" s="54"/>
      <c r="N549" s="55"/>
    </row>
    <row r="550" spans="1:14" ht="15.75" customHeight="1" x14ac:dyDescent="0.2">
      <c r="A550">
        <v>510</v>
      </c>
      <c r="B550" s="33" t="s">
        <v>333</v>
      </c>
      <c r="C550" s="34"/>
      <c r="D550" s="35"/>
      <c r="E550" s="36">
        <f t="shared" si="22"/>
        <v>0</v>
      </c>
      <c r="F550" s="50" t="s">
        <v>28</v>
      </c>
      <c r="G550" s="38">
        <v>112</v>
      </c>
      <c r="H550" s="39">
        <f t="shared" si="21"/>
        <v>0</v>
      </c>
      <c r="I550" s="51"/>
      <c r="J550" s="52"/>
      <c r="L550" s="53"/>
      <c r="M550" s="54"/>
      <c r="N550" s="55"/>
    </row>
    <row r="551" spans="1:14" ht="15.75" customHeight="1" x14ac:dyDescent="0.2">
      <c r="A551">
        <v>511</v>
      </c>
      <c r="B551" s="33" t="s">
        <v>334</v>
      </c>
      <c r="C551" s="34"/>
      <c r="D551" s="35"/>
      <c r="E551" s="36">
        <f t="shared" si="22"/>
        <v>0</v>
      </c>
      <c r="F551" s="50" t="s">
        <v>28</v>
      </c>
      <c r="G551" s="38">
        <v>104</v>
      </c>
      <c r="H551" s="39">
        <f t="shared" si="21"/>
        <v>0</v>
      </c>
      <c r="I551" s="51"/>
      <c r="J551" s="52"/>
      <c r="L551" s="53"/>
      <c r="M551" s="54"/>
      <c r="N551" s="55"/>
    </row>
    <row r="552" spans="1:14" ht="15.75" customHeight="1" x14ac:dyDescent="0.2">
      <c r="A552">
        <v>512</v>
      </c>
      <c r="B552" s="33" t="s">
        <v>335</v>
      </c>
      <c r="C552" s="34"/>
      <c r="D552" s="35"/>
      <c r="E552" s="36">
        <f t="shared" si="22"/>
        <v>0</v>
      </c>
      <c r="F552" s="50" t="s">
        <v>28</v>
      </c>
      <c r="G552" s="38">
        <v>96</v>
      </c>
      <c r="H552" s="39">
        <f t="shared" si="21"/>
        <v>0</v>
      </c>
      <c r="I552" s="51"/>
      <c r="J552" s="52"/>
      <c r="L552" s="53"/>
      <c r="M552" s="54"/>
      <c r="N552" s="55"/>
    </row>
    <row r="553" spans="1:14" ht="15.75" customHeight="1" x14ac:dyDescent="0.2">
      <c r="A553">
        <v>513</v>
      </c>
      <c r="B553" s="33" t="s">
        <v>336</v>
      </c>
      <c r="C553" s="34"/>
      <c r="D553" s="35"/>
      <c r="E553" s="36">
        <f t="shared" si="22"/>
        <v>0</v>
      </c>
      <c r="F553" s="50" t="s">
        <v>28</v>
      </c>
      <c r="G553" s="38">
        <v>87</v>
      </c>
      <c r="H553" s="39">
        <f t="shared" si="21"/>
        <v>0</v>
      </c>
      <c r="I553" s="51"/>
      <c r="J553" s="52"/>
      <c r="L553" s="53"/>
      <c r="M553" s="54"/>
      <c r="N553" s="55"/>
    </row>
    <row r="554" spans="1:14" ht="15.75" customHeight="1" x14ac:dyDescent="0.2">
      <c r="A554">
        <v>514</v>
      </c>
      <c r="B554" s="33" t="s">
        <v>337</v>
      </c>
      <c r="C554" s="34"/>
      <c r="D554" s="35"/>
      <c r="E554" s="36">
        <f t="shared" si="22"/>
        <v>0</v>
      </c>
      <c r="F554" s="50" t="s">
        <v>28</v>
      </c>
      <c r="G554" s="38">
        <v>79</v>
      </c>
      <c r="H554" s="39">
        <f t="shared" si="21"/>
        <v>0</v>
      </c>
      <c r="I554" s="51"/>
      <c r="J554" s="52"/>
      <c r="L554" s="53"/>
      <c r="M554" s="54"/>
      <c r="N554" s="55"/>
    </row>
    <row r="555" spans="1:14" ht="15.75" customHeight="1" x14ac:dyDescent="0.2">
      <c r="A555">
        <v>515</v>
      </c>
      <c r="B555" s="33" t="s">
        <v>338</v>
      </c>
      <c r="C555" s="34"/>
      <c r="D555" s="35"/>
      <c r="E555" s="36">
        <f t="shared" si="22"/>
        <v>0</v>
      </c>
      <c r="F555" s="50" t="s">
        <v>28</v>
      </c>
      <c r="G555" s="38">
        <v>69</v>
      </c>
      <c r="H555" s="39">
        <f t="shared" si="21"/>
        <v>0</v>
      </c>
      <c r="I555" s="51"/>
      <c r="J555" s="52"/>
      <c r="L555" s="53"/>
      <c r="M555" s="54"/>
      <c r="N555" s="55"/>
    </row>
    <row r="556" spans="1:14" ht="15.75" customHeight="1" x14ac:dyDescent="0.2">
      <c r="A556">
        <v>516</v>
      </c>
      <c r="B556" s="33" t="s">
        <v>339</v>
      </c>
      <c r="C556" s="34"/>
      <c r="D556" s="35"/>
      <c r="E556" s="36">
        <f t="shared" si="22"/>
        <v>0</v>
      </c>
      <c r="F556" s="50" t="s">
        <v>28</v>
      </c>
      <c r="G556" s="38">
        <v>58</v>
      </c>
      <c r="H556" s="39">
        <f t="shared" si="21"/>
        <v>0</v>
      </c>
      <c r="I556" s="51"/>
      <c r="J556" s="52"/>
      <c r="L556" s="53"/>
      <c r="M556" s="54"/>
      <c r="N556" s="55"/>
    </row>
    <row r="557" spans="1:14" ht="15.75" customHeight="1" x14ac:dyDescent="0.2">
      <c r="A557">
        <v>517</v>
      </c>
      <c r="B557" s="33" t="s">
        <v>340</v>
      </c>
      <c r="C557" s="34"/>
      <c r="D557" s="35"/>
      <c r="E557" s="36">
        <f t="shared" si="22"/>
        <v>0</v>
      </c>
      <c r="F557" s="50" t="s">
        <v>28</v>
      </c>
      <c r="G557" s="38">
        <v>53</v>
      </c>
      <c r="H557" s="39">
        <f t="shared" si="21"/>
        <v>0</v>
      </c>
      <c r="I557" s="51"/>
      <c r="J557" s="52"/>
      <c r="L557" s="53"/>
      <c r="M557" s="54"/>
      <c r="N557" s="55"/>
    </row>
    <row r="558" spans="1:14" ht="15.75" customHeight="1" x14ac:dyDescent="0.2">
      <c r="A558">
        <v>518</v>
      </c>
      <c r="B558" s="33" t="s">
        <v>341</v>
      </c>
      <c r="C558" s="34"/>
      <c r="D558" s="35"/>
      <c r="E558" s="36">
        <f t="shared" si="22"/>
        <v>0</v>
      </c>
      <c r="F558" s="50" t="s">
        <v>28</v>
      </c>
      <c r="G558" s="38">
        <v>215</v>
      </c>
      <c r="H558" s="39">
        <f t="shared" si="21"/>
        <v>0</v>
      </c>
      <c r="I558" s="51"/>
      <c r="J558" s="52"/>
      <c r="L558" s="53"/>
      <c r="M558" s="54"/>
      <c r="N558" s="55"/>
    </row>
    <row r="559" spans="1:14" ht="15.75" customHeight="1" x14ac:dyDescent="0.2">
      <c r="A559">
        <v>519</v>
      </c>
      <c r="B559" s="33" t="s">
        <v>342</v>
      </c>
      <c r="C559" s="34"/>
      <c r="D559" s="35"/>
      <c r="E559" s="36">
        <f t="shared" si="22"/>
        <v>0</v>
      </c>
      <c r="F559" s="50" t="s">
        <v>28</v>
      </c>
      <c r="G559" s="38">
        <v>197</v>
      </c>
      <c r="H559" s="39">
        <f t="shared" si="21"/>
        <v>0</v>
      </c>
      <c r="I559" s="51"/>
      <c r="J559" s="52"/>
      <c r="L559" s="53"/>
      <c r="M559" s="54"/>
      <c r="N559" s="55"/>
    </row>
    <row r="560" spans="1:14" ht="15.75" customHeight="1" x14ac:dyDescent="0.2">
      <c r="A560">
        <v>520</v>
      </c>
      <c r="B560" s="33" t="s">
        <v>343</v>
      </c>
      <c r="C560" s="34"/>
      <c r="D560" s="35"/>
      <c r="E560" s="36">
        <f t="shared" si="22"/>
        <v>0</v>
      </c>
      <c r="F560" s="50" t="s">
        <v>28</v>
      </c>
      <c r="G560" s="38">
        <v>179</v>
      </c>
      <c r="H560" s="39">
        <f t="shared" si="21"/>
        <v>0</v>
      </c>
      <c r="I560" s="51"/>
      <c r="J560" s="52"/>
      <c r="L560" s="53"/>
      <c r="M560" s="54"/>
      <c r="N560" s="55"/>
    </row>
    <row r="561" spans="1:14" ht="15.75" customHeight="1" x14ac:dyDescent="0.2">
      <c r="A561">
        <v>521</v>
      </c>
      <c r="B561" s="33" t="s">
        <v>344</v>
      </c>
      <c r="C561" s="34"/>
      <c r="D561" s="35"/>
      <c r="E561" s="36">
        <f t="shared" si="22"/>
        <v>0</v>
      </c>
      <c r="F561" s="50" t="s">
        <v>28</v>
      </c>
      <c r="G561" s="38">
        <v>162</v>
      </c>
      <c r="H561" s="39">
        <f t="shared" si="21"/>
        <v>0</v>
      </c>
      <c r="I561" s="51"/>
      <c r="J561" s="52"/>
      <c r="L561" s="53"/>
      <c r="M561" s="54"/>
      <c r="N561" s="55"/>
    </row>
    <row r="562" spans="1:14" ht="15.75" customHeight="1" x14ac:dyDescent="0.2">
      <c r="A562">
        <v>522</v>
      </c>
      <c r="B562" s="33" t="s">
        <v>345</v>
      </c>
      <c r="C562" s="34"/>
      <c r="D562" s="35"/>
      <c r="E562" s="36">
        <f t="shared" si="22"/>
        <v>0</v>
      </c>
      <c r="F562" s="50" t="s">
        <v>28</v>
      </c>
      <c r="G562" s="38">
        <v>150</v>
      </c>
      <c r="H562" s="39">
        <f t="shared" si="21"/>
        <v>0</v>
      </c>
      <c r="I562" s="51"/>
      <c r="J562" s="52"/>
      <c r="L562" s="53"/>
      <c r="M562" s="54"/>
      <c r="N562" s="55"/>
    </row>
    <row r="563" spans="1:14" ht="15.75" customHeight="1" x14ac:dyDescent="0.2">
      <c r="A563">
        <v>523</v>
      </c>
      <c r="B563" s="33" t="s">
        <v>346</v>
      </c>
      <c r="C563" s="34"/>
      <c r="D563" s="35"/>
      <c r="E563" s="36">
        <f t="shared" si="22"/>
        <v>0</v>
      </c>
      <c r="F563" s="50" t="s">
        <v>28</v>
      </c>
      <c r="G563" s="38">
        <v>123</v>
      </c>
      <c r="H563" s="39">
        <f t="shared" si="21"/>
        <v>0</v>
      </c>
      <c r="I563" s="51"/>
      <c r="J563" s="52"/>
      <c r="L563" s="53"/>
      <c r="M563" s="54"/>
      <c r="N563" s="55"/>
    </row>
    <row r="564" spans="1:14" ht="15.75" customHeight="1" x14ac:dyDescent="0.2">
      <c r="A564">
        <v>524</v>
      </c>
      <c r="B564" s="33" t="s">
        <v>347</v>
      </c>
      <c r="C564" s="34"/>
      <c r="D564" s="35"/>
      <c r="E564" s="36">
        <f t="shared" si="22"/>
        <v>0</v>
      </c>
      <c r="F564" s="50" t="s">
        <v>28</v>
      </c>
      <c r="G564" s="38">
        <v>112</v>
      </c>
      <c r="H564" s="39">
        <f t="shared" si="21"/>
        <v>0</v>
      </c>
      <c r="I564" s="51"/>
      <c r="J564" s="52"/>
      <c r="L564" s="53"/>
      <c r="M564" s="54"/>
      <c r="N564" s="55"/>
    </row>
    <row r="565" spans="1:14" ht="15.75" customHeight="1" x14ac:dyDescent="0.2">
      <c r="A565">
        <v>525</v>
      </c>
      <c r="B565" s="33" t="s">
        <v>348</v>
      </c>
      <c r="C565" s="34"/>
      <c r="D565" s="35"/>
      <c r="E565" s="36">
        <f t="shared" si="22"/>
        <v>0</v>
      </c>
      <c r="F565" s="50" t="s">
        <v>28</v>
      </c>
      <c r="G565" s="38">
        <v>104</v>
      </c>
      <c r="H565" s="39">
        <f t="shared" si="21"/>
        <v>0</v>
      </c>
      <c r="I565" s="51"/>
      <c r="J565" s="52"/>
      <c r="L565" s="53"/>
      <c r="M565" s="54"/>
      <c r="N565" s="55"/>
    </row>
    <row r="566" spans="1:14" ht="15.75" customHeight="1" x14ac:dyDescent="0.2">
      <c r="A566">
        <v>526</v>
      </c>
      <c r="B566" s="33" t="s">
        <v>349</v>
      </c>
      <c r="C566" s="34"/>
      <c r="D566" s="35"/>
      <c r="E566" s="36">
        <f t="shared" si="22"/>
        <v>0</v>
      </c>
      <c r="F566" s="50" t="s">
        <v>28</v>
      </c>
      <c r="G566" s="38">
        <v>112</v>
      </c>
      <c r="H566" s="39">
        <f t="shared" si="21"/>
        <v>0</v>
      </c>
      <c r="I566" s="51"/>
      <c r="J566" s="52"/>
      <c r="L566" s="53"/>
      <c r="M566" s="54"/>
      <c r="N566" s="55"/>
    </row>
    <row r="567" spans="1:14" ht="15.75" customHeight="1" x14ac:dyDescent="0.2">
      <c r="A567">
        <v>527</v>
      </c>
      <c r="B567" s="33" t="s">
        <v>350</v>
      </c>
      <c r="C567" s="34"/>
      <c r="D567" s="35"/>
      <c r="E567" s="36">
        <f t="shared" si="22"/>
        <v>0</v>
      </c>
      <c r="F567" s="50" t="s">
        <v>28</v>
      </c>
      <c r="G567" s="38">
        <v>104</v>
      </c>
      <c r="H567" s="39">
        <f t="shared" ref="H567:H630" si="23">E567*G567</f>
        <v>0</v>
      </c>
      <c r="I567" s="51"/>
      <c r="J567" s="52"/>
      <c r="L567" s="53"/>
      <c r="M567" s="54"/>
      <c r="N567" s="55"/>
    </row>
    <row r="568" spans="1:14" ht="15.75" customHeight="1" x14ac:dyDescent="0.2">
      <c r="A568">
        <v>528</v>
      </c>
      <c r="B568" s="33" t="s">
        <v>351</v>
      </c>
      <c r="C568" s="34"/>
      <c r="D568" s="35"/>
      <c r="E568" s="36">
        <f t="shared" si="22"/>
        <v>0</v>
      </c>
      <c r="F568" s="50" t="s">
        <v>28</v>
      </c>
      <c r="G568" s="38">
        <v>96</v>
      </c>
      <c r="H568" s="39">
        <f t="shared" si="23"/>
        <v>0</v>
      </c>
      <c r="I568" s="51"/>
      <c r="J568" s="52"/>
      <c r="L568" s="53"/>
      <c r="M568" s="54"/>
      <c r="N568" s="55"/>
    </row>
    <row r="569" spans="1:14" ht="15.75" customHeight="1" x14ac:dyDescent="0.2">
      <c r="A569">
        <v>529</v>
      </c>
      <c r="B569" s="33" t="s">
        <v>352</v>
      </c>
      <c r="C569" s="34"/>
      <c r="D569" s="35"/>
      <c r="E569" s="36">
        <f t="shared" si="22"/>
        <v>0</v>
      </c>
      <c r="F569" s="50" t="s">
        <v>28</v>
      </c>
      <c r="G569" s="38">
        <v>87</v>
      </c>
      <c r="H569" s="39">
        <f t="shared" si="23"/>
        <v>0</v>
      </c>
      <c r="I569" s="51"/>
      <c r="J569" s="52"/>
      <c r="L569" s="53"/>
      <c r="M569" s="54"/>
      <c r="N569" s="55"/>
    </row>
    <row r="570" spans="1:14" ht="15.75" customHeight="1" x14ac:dyDescent="0.2">
      <c r="A570">
        <v>530</v>
      </c>
      <c r="B570" s="33" t="s">
        <v>353</v>
      </c>
      <c r="C570" s="34"/>
      <c r="D570" s="35"/>
      <c r="E570" s="36">
        <f t="shared" si="22"/>
        <v>0</v>
      </c>
      <c r="F570" s="50" t="s">
        <v>28</v>
      </c>
      <c r="G570" s="38">
        <v>79</v>
      </c>
      <c r="H570" s="39">
        <f t="shared" si="23"/>
        <v>0</v>
      </c>
      <c r="I570" s="51"/>
      <c r="J570" s="52"/>
      <c r="L570" s="53"/>
      <c r="M570" s="54"/>
      <c r="N570" s="55"/>
    </row>
    <row r="571" spans="1:14" ht="15.75" customHeight="1" x14ac:dyDescent="0.2">
      <c r="A571">
        <v>531</v>
      </c>
      <c r="B571" s="33" t="s">
        <v>354</v>
      </c>
      <c r="C571" s="34"/>
      <c r="D571" s="35"/>
      <c r="E571" s="36">
        <f t="shared" si="22"/>
        <v>0</v>
      </c>
      <c r="F571" s="50" t="s">
        <v>28</v>
      </c>
      <c r="G571" s="38">
        <v>69</v>
      </c>
      <c r="H571" s="39">
        <f t="shared" si="23"/>
        <v>0</v>
      </c>
      <c r="I571" s="51"/>
      <c r="J571" s="52"/>
      <c r="L571" s="53"/>
      <c r="M571" s="54"/>
      <c r="N571" s="55"/>
    </row>
    <row r="572" spans="1:14" ht="15.75" customHeight="1" x14ac:dyDescent="0.2">
      <c r="A572">
        <v>532</v>
      </c>
      <c r="B572" s="33" t="s">
        <v>355</v>
      </c>
      <c r="C572" s="34"/>
      <c r="D572" s="35"/>
      <c r="E572" s="36">
        <f t="shared" si="22"/>
        <v>0</v>
      </c>
      <c r="F572" s="50" t="s">
        <v>28</v>
      </c>
      <c r="G572" s="38">
        <v>58</v>
      </c>
      <c r="H572" s="39">
        <f t="shared" si="23"/>
        <v>0</v>
      </c>
      <c r="I572" s="51"/>
      <c r="J572" s="52"/>
      <c r="L572" s="53"/>
      <c r="M572" s="54"/>
      <c r="N572" s="55"/>
    </row>
    <row r="573" spans="1:14" ht="15.75" customHeight="1" x14ac:dyDescent="0.2">
      <c r="A573">
        <v>533</v>
      </c>
      <c r="B573" s="33" t="s">
        <v>356</v>
      </c>
      <c r="C573" s="34"/>
      <c r="D573" s="35"/>
      <c r="E573" s="36">
        <f t="shared" si="22"/>
        <v>0</v>
      </c>
      <c r="F573" s="50" t="s">
        <v>28</v>
      </c>
      <c r="G573" s="38">
        <v>30</v>
      </c>
      <c r="H573" s="39">
        <f t="shared" si="23"/>
        <v>0</v>
      </c>
      <c r="I573" s="51"/>
      <c r="J573" s="52"/>
      <c r="L573" s="53"/>
      <c r="M573" s="54"/>
      <c r="N573" s="55"/>
    </row>
    <row r="574" spans="1:14" ht="15.75" customHeight="1" x14ac:dyDescent="0.2">
      <c r="A574">
        <v>534</v>
      </c>
      <c r="B574" s="33" t="s">
        <v>357</v>
      </c>
      <c r="C574" s="34"/>
      <c r="D574" s="35"/>
      <c r="E574" s="36">
        <f t="shared" si="22"/>
        <v>0</v>
      </c>
      <c r="F574" s="50" t="s">
        <v>28</v>
      </c>
      <c r="G574" s="38">
        <v>249</v>
      </c>
      <c r="H574" s="39">
        <f t="shared" si="23"/>
        <v>0</v>
      </c>
      <c r="I574" s="51"/>
      <c r="J574" s="52"/>
      <c r="L574" s="53"/>
      <c r="M574" s="54"/>
      <c r="N574" s="55"/>
    </row>
    <row r="575" spans="1:14" ht="15.75" customHeight="1" x14ac:dyDescent="0.2">
      <c r="A575">
        <v>535</v>
      </c>
      <c r="B575" s="33" t="s">
        <v>358</v>
      </c>
      <c r="C575" s="34"/>
      <c r="D575" s="35"/>
      <c r="E575" s="36">
        <f t="shared" si="22"/>
        <v>0</v>
      </c>
      <c r="F575" s="50" t="s">
        <v>28</v>
      </c>
      <c r="G575" s="38">
        <v>232</v>
      </c>
      <c r="H575" s="39">
        <f t="shared" si="23"/>
        <v>0</v>
      </c>
      <c r="I575" s="51"/>
      <c r="J575" s="52"/>
      <c r="L575" s="53"/>
      <c r="M575" s="54"/>
      <c r="N575" s="55"/>
    </row>
    <row r="576" spans="1:14" ht="15.75" customHeight="1" x14ac:dyDescent="0.2">
      <c r="A576">
        <v>536</v>
      </c>
      <c r="B576" s="33" t="s">
        <v>359</v>
      </c>
      <c r="C576" s="34"/>
      <c r="D576" s="35"/>
      <c r="E576" s="36">
        <f t="shared" si="22"/>
        <v>0</v>
      </c>
      <c r="F576" s="50" t="s">
        <v>28</v>
      </c>
      <c r="G576" s="38">
        <v>214</v>
      </c>
      <c r="H576" s="39">
        <f t="shared" si="23"/>
        <v>0</v>
      </c>
      <c r="I576" s="51"/>
      <c r="J576" s="52"/>
      <c r="L576" s="53"/>
      <c r="M576" s="54"/>
      <c r="N576" s="55"/>
    </row>
    <row r="577" spans="1:14" ht="15.75" customHeight="1" x14ac:dyDescent="0.2">
      <c r="A577">
        <v>537</v>
      </c>
      <c r="B577" s="33" t="s">
        <v>360</v>
      </c>
      <c r="C577" s="34"/>
      <c r="D577" s="35"/>
      <c r="E577" s="36">
        <f t="shared" si="22"/>
        <v>0</v>
      </c>
      <c r="F577" s="50" t="s">
        <v>28</v>
      </c>
      <c r="G577" s="38">
        <v>194</v>
      </c>
      <c r="H577" s="39">
        <f t="shared" si="23"/>
        <v>0</v>
      </c>
      <c r="I577" s="51"/>
      <c r="J577" s="52"/>
      <c r="L577" s="53"/>
      <c r="M577" s="54"/>
      <c r="N577" s="55"/>
    </row>
    <row r="578" spans="1:14" ht="15.75" customHeight="1" x14ac:dyDescent="0.2">
      <c r="A578">
        <v>538</v>
      </c>
      <c r="B578" s="33" t="s">
        <v>361</v>
      </c>
      <c r="C578" s="34"/>
      <c r="D578" s="35"/>
      <c r="E578" s="36">
        <f t="shared" si="22"/>
        <v>0</v>
      </c>
      <c r="F578" s="50" t="s">
        <v>28</v>
      </c>
      <c r="G578" s="38">
        <v>180</v>
      </c>
      <c r="H578" s="39">
        <f t="shared" si="23"/>
        <v>0</v>
      </c>
      <c r="I578" s="51"/>
      <c r="J578" s="52"/>
      <c r="L578" s="53"/>
      <c r="M578" s="54"/>
      <c r="N578" s="55"/>
    </row>
    <row r="579" spans="1:14" ht="15.75" customHeight="1" x14ac:dyDescent="0.2">
      <c r="A579">
        <v>539</v>
      </c>
      <c r="B579" s="33" t="s">
        <v>362</v>
      </c>
      <c r="C579" s="34"/>
      <c r="D579" s="35"/>
      <c r="E579" s="36">
        <f t="shared" ref="E579:E623" si="24">SUM(C579:D579)</f>
        <v>0</v>
      </c>
      <c r="F579" s="50" t="s">
        <v>28</v>
      </c>
      <c r="G579" s="38">
        <v>148</v>
      </c>
      <c r="H579" s="39">
        <f t="shared" si="23"/>
        <v>0</v>
      </c>
      <c r="I579" s="51"/>
      <c r="J579" s="52"/>
      <c r="L579" s="53"/>
      <c r="M579" s="54"/>
      <c r="N579" s="55"/>
    </row>
    <row r="580" spans="1:14" ht="15.75" customHeight="1" x14ac:dyDescent="0.2">
      <c r="A580">
        <v>540</v>
      </c>
      <c r="B580" s="33" t="s">
        <v>363</v>
      </c>
      <c r="C580" s="34"/>
      <c r="D580" s="35"/>
      <c r="E580" s="36">
        <f t="shared" si="24"/>
        <v>0</v>
      </c>
      <c r="F580" s="50" t="s">
        <v>28</v>
      </c>
      <c r="G580" s="38">
        <v>134</v>
      </c>
      <c r="H580" s="39">
        <f t="shared" si="23"/>
        <v>0</v>
      </c>
      <c r="I580" s="51"/>
      <c r="J580" s="52"/>
      <c r="L580" s="53"/>
      <c r="M580" s="54"/>
      <c r="N580" s="55"/>
    </row>
    <row r="581" spans="1:14" ht="15.75" customHeight="1" x14ac:dyDescent="0.2">
      <c r="A581">
        <v>541</v>
      </c>
      <c r="B581" s="33" t="s">
        <v>364</v>
      </c>
      <c r="C581" s="34"/>
      <c r="D581" s="35"/>
      <c r="E581" s="36">
        <f t="shared" si="24"/>
        <v>0</v>
      </c>
      <c r="F581" s="50" t="s">
        <v>28</v>
      </c>
      <c r="G581" s="38">
        <v>125</v>
      </c>
      <c r="H581" s="39">
        <f t="shared" si="23"/>
        <v>0</v>
      </c>
      <c r="I581" s="51"/>
      <c r="J581" s="52"/>
      <c r="L581" s="53"/>
      <c r="M581" s="54"/>
      <c r="N581" s="55"/>
    </row>
    <row r="582" spans="1:14" ht="15.75" customHeight="1" x14ac:dyDescent="0.2">
      <c r="A582">
        <v>542</v>
      </c>
      <c r="B582" s="33" t="s">
        <v>365</v>
      </c>
      <c r="C582" s="34"/>
      <c r="D582" s="35"/>
      <c r="E582" s="36">
        <f t="shared" si="24"/>
        <v>0</v>
      </c>
      <c r="F582" s="50" t="s">
        <v>28</v>
      </c>
      <c r="G582" s="38">
        <v>115</v>
      </c>
      <c r="H582" s="39">
        <f t="shared" si="23"/>
        <v>0</v>
      </c>
      <c r="I582" s="51"/>
      <c r="J582" s="52"/>
      <c r="L582" s="53"/>
      <c r="M582" s="54"/>
      <c r="N582" s="55"/>
    </row>
    <row r="583" spans="1:14" ht="15.75" customHeight="1" x14ac:dyDescent="0.2">
      <c r="A583">
        <v>543</v>
      </c>
      <c r="B583" s="33" t="s">
        <v>366</v>
      </c>
      <c r="C583" s="34"/>
      <c r="D583" s="35"/>
      <c r="E583" s="36">
        <f t="shared" si="24"/>
        <v>0</v>
      </c>
      <c r="F583" s="50" t="s">
        <v>28</v>
      </c>
      <c r="G583" s="38">
        <v>105</v>
      </c>
      <c r="H583" s="39">
        <f t="shared" si="23"/>
        <v>0</v>
      </c>
      <c r="I583" s="51"/>
      <c r="J583" s="52"/>
      <c r="L583" s="53"/>
      <c r="M583" s="54"/>
      <c r="N583" s="55"/>
    </row>
    <row r="584" spans="1:14" ht="15.75" customHeight="1" x14ac:dyDescent="0.2">
      <c r="A584">
        <v>544</v>
      </c>
      <c r="B584" s="33" t="s">
        <v>367</v>
      </c>
      <c r="C584" s="34"/>
      <c r="D584" s="35"/>
      <c r="E584" s="36">
        <f t="shared" si="24"/>
        <v>0</v>
      </c>
      <c r="F584" s="50" t="s">
        <v>28</v>
      </c>
      <c r="G584" s="38">
        <v>93</v>
      </c>
      <c r="H584" s="39">
        <f t="shared" si="23"/>
        <v>0</v>
      </c>
      <c r="I584" s="51"/>
      <c r="J584" s="52"/>
      <c r="L584" s="53"/>
      <c r="M584" s="54"/>
      <c r="N584" s="55"/>
    </row>
    <row r="585" spans="1:14" ht="15.75" customHeight="1" x14ac:dyDescent="0.2">
      <c r="A585">
        <v>545</v>
      </c>
      <c r="B585" s="33" t="s">
        <v>368</v>
      </c>
      <c r="C585" s="34"/>
      <c r="D585" s="35"/>
      <c r="E585" s="36">
        <f t="shared" si="24"/>
        <v>0</v>
      </c>
      <c r="F585" s="50" t="s">
        <v>28</v>
      </c>
      <c r="G585" s="38">
        <v>83</v>
      </c>
      <c r="H585" s="39">
        <f t="shared" si="23"/>
        <v>0</v>
      </c>
      <c r="I585" s="51"/>
      <c r="J585" s="52"/>
      <c r="L585" s="53"/>
      <c r="M585" s="54"/>
      <c r="N585" s="55"/>
    </row>
    <row r="586" spans="1:14" ht="15.75" customHeight="1" x14ac:dyDescent="0.2">
      <c r="A586">
        <v>546</v>
      </c>
      <c r="B586" s="33" t="s">
        <v>369</v>
      </c>
      <c r="C586" s="34"/>
      <c r="D586" s="35"/>
      <c r="E586" s="36">
        <f t="shared" si="24"/>
        <v>0</v>
      </c>
      <c r="F586" s="50" t="s">
        <v>28</v>
      </c>
      <c r="G586" s="38">
        <v>71</v>
      </c>
      <c r="H586" s="39">
        <f t="shared" si="23"/>
        <v>0</v>
      </c>
      <c r="I586" s="51"/>
      <c r="J586" s="52"/>
      <c r="L586" s="53"/>
      <c r="M586" s="54"/>
      <c r="N586" s="55"/>
    </row>
    <row r="587" spans="1:14" ht="15.75" customHeight="1" x14ac:dyDescent="0.2">
      <c r="A587">
        <v>547</v>
      </c>
      <c r="B587" s="33" t="s">
        <v>370</v>
      </c>
      <c r="C587" s="34"/>
      <c r="D587" s="35"/>
      <c r="E587" s="36">
        <f t="shared" si="24"/>
        <v>0</v>
      </c>
      <c r="F587" s="50" t="s">
        <v>28</v>
      </c>
      <c r="G587" s="38">
        <v>66</v>
      </c>
      <c r="H587" s="39">
        <f t="shared" si="23"/>
        <v>0</v>
      </c>
      <c r="I587" s="51"/>
      <c r="J587" s="52"/>
      <c r="L587" s="53"/>
      <c r="M587" s="54"/>
      <c r="N587" s="55"/>
    </row>
    <row r="588" spans="1:14" ht="15.75" customHeight="1" x14ac:dyDescent="0.2">
      <c r="A588">
        <v>548</v>
      </c>
      <c r="B588" s="33" t="s">
        <v>306</v>
      </c>
      <c r="C588" s="34"/>
      <c r="D588" s="35"/>
      <c r="E588" s="36">
        <f t="shared" si="24"/>
        <v>0</v>
      </c>
      <c r="F588" s="50" t="s">
        <v>28</v>
      </c>
      <c r="G588" s="38">
        <v>407</v>
      </c>
      <c r="H588" s="39">
        <f t="shared" si="23"/>
        <v>0</v>
      </c>
      <c r="I588" s="51"/>
      <c r="J588" s="51"/>
    </row>
    <row r="589" spans="1:14" ht="15.75" customHeight="1" x14ac:dyDescent="0.2">
      <c r="A589">
        <v>549</v>
      </c>
      <c r="B589" s="33" t="s">
        <v>307</v>
      </c>
      <c r="C589" s="34"/>
      <c r="D589" s="35"/>
      <c r="E589" s="36">
        <f t="shared" si="24"/>
        <v>0</v>
      </c>
      <c r="F589" s="50" t="s">
        <v>28</v>
      </c>
      <c r="G589" s="38">
        <v>299</v>
      </c>
      <c r="H589" s="39">
        <f t="shared" si="23"/>
        <v>0</v>
      </c>
      <c r="I589" s="51"/>
      <c r="J589" s="51"/>
    </row>
    <row r="590" spans="1:14" ht="15.75" customHeight="1" x14ac:dyDescent="0.2">
      <c r="A590">
        <v>550</v>
      </c>
      <c r="B590" s="33" t="s">
        <v>308</v>
      </c>
      <c r="C590" s="34"/>
      <c r="D590" s="35"/>
      <c r="E590" s="36">
        <f t="shared" si="24"/>
        <v>0</v>
      </c>
      <c r="F590" s="50" t="s">
        <v>28</v>
      </c>
      <c r="G590" s="38">
        <v>247</v>
      </c>
      <c r="H590" s="39">
        <f t="shared" si="23"/>
        <v>0</v>
      </c>
      <c r="I590" s="51"/>
      <c r="J590" s="51"/>
    </row>
    <row r="591" spans="1:14" ht="15.75" customHeight="1" x14ac:dyDescent="0.2">
      <c r="A591">
        <v>551</v>
      </c>
      <c r="B591" s="33" t="s">
        <v>309</v>
      </c>
      <c r="C591" s="34"/>
      <c r="D591" s="35"/>
      <c r="E591" s="36">
        <f t="shared" si="24"/>
        <v>0</v>
      </c>
      <c r="F591" s="50" t="s">
        <v>28</v>
      </c>
      <c r="G591" s="38">
        <v>173</v>
      </c>
      <c r="H591" s="39">
        <f t="shared" si="23"/>
        <v>0</v>
      </c>
      <c r="I591" s="51"/>
      <c r="J591" s="51"/>
    </row>
    <row r="592" spans="1:14" ht="15.75" customHeight="1" x14ac:dyDescent="0.2">
      <c r="A592">
        <v>552</v>
      </c>
      <c r="B592" s="33" t="s">
        <v>310</v>
      </c>
      <c r="C592" s="34"/>
      <c r="D592" s="35"/>
      <c r="E592" s="36">
        <f t="shared" si="24"/>
        <v>0</v>
      </c>
      <c r="F592" s="50" t="s">
        <v>28</v>
      </c>
      <c r="G592" s="38">
        <v>136</v>
      </c>
      <c r="H592" s="39">
        <f t="shared" si="23"/>
        <v>0</v>
      </c>
      <c r="I592" s="51"/>
      <c r="J592" s="51"/>
    </row>
    <row r="593" spans="1:14" ht="15.75" customHeight="1" x14ac:dyDescent="0.2">
      <c r="A593">
        <v>553</v>
      </c>
      <c r="B593" s="33" t="s">
        <v>311</v>
      </c>
      <c r="C593" s="34"/>
      <c r="D593" s="35"/>
      <c r="E593" s="36">
        <f t="shared" si="24"/>
        <v>0</v>
      </c>
      <c r="F593" s="50" t="s">
        <v>28</v>
      </c>
      <c r="G593" s="38">
        <v>118</v>
      </c>
      <c r="H593" s="39">
        <f t="shared" si="23"/>
        <v>0</v>
      </c>
      <c r="I593" s="51"/>
      <c r="J593" s="51"/>
    </row>
    <row r="594" spans="1:14" ht="15.75" customHeight="1" x14ac:dyDescent="0.2">
      <c r="A594">
        <v>554</v>
      </c>
      <c r="B594" s="33" t="s">
        <v>371</v>
      </c>
      <c r="C594" s="34"/>
      <c r="D594" s="35"/>
      <c r="E594" s="36">
        <f t="shared" si="24"/>
        <v>0</v>
      </c>
      <c r="F594" s="50" t="s">
        <v>28</v>
      </c>
      <c r="G594" s="38">
        <v>843</v>
      </c>
      <c r="H594" s="39">
        <f t="shared" si="23"/>
        <v>0</v>
      </c>
      <c r="I594" s="51"/>
      <c r="J594" s="52"/>
      <c r="L594" s="53"/>
      <c r="M594" s="54"/>
      <c r="N594" s="55"/>
    </row>
    <row r="595" spans="1:14" ht="15.75" customHeight="1" x14ac:dyDescent="0.2">
      <c r="A595">
        <v>555</v>
      </c>
      <c r="B595" s="33" t="s">
        <v>372</v>
      </c>
      <c r="C595" s="34"/>
      <c r="D595" s="35"/>
      <c r="E595" s="36">
        <f t="shared" si="24"/>
        <v>0</v>
      </c>
      <c r="F595" s="50" t="s">
        <v>28</v>
      </c>
      <c r="G595" s="38">
        <v>710</v>
      </c>
      <c r="H595" s="39">
        <f t="shared" si="23"/>
        <v>0</v>
      </c>
      <c r="I595" s="51"/>
      <c r="J595" s="52"/>
      <c r="L595" s="53"/>
      <c r="M595" s="54"/>
      <c r="N595" s="55"/>
    </row>
    <row r="596" spans="1:14" ht="15.75" customHeight="1" x14ac:dyDescent="0.2">
      <c r="A596">
        <v>556</v>
      </c>
      <c r="B596" s="33" t="s">
        <v>373</v>
      </c>
      <c r="C596" s="34"/>
      <c r="D596" s="35"/>
      <c r="E596" s="36">
        <f t="shared" si="24"/>
        <v>0</v>
      </c>
      <c r="F596" s="50" t="s">
        <v>28</v>
      </c>
      <c r="G596" s="38">
        <v>556</v>
      </c>
      <c r="H596" s="39">
        <f t="shared" si="23"/>
        <v>0</v>
      </c>
      <c r="I596" s="51"/>
      <c r="J596" s="52"/>
      <c r="L596" s="53"/>
      <c r="M596" s="54"/>
      <c r="N596" s="55"/>
    </row>
    <row r="597" spans="1:14" ht="15.75" customHeight="1" x14ac:dyDescent="0.2">
      <c r="A597">
        <v>557</v>
      </c>
      <c r="B597" s="33" t="s">
        <v>374</v>
      </c>
      <c r="C597" s="34"/>
      <c r="D597" s="35"/>
      <c r="E597" s="36">
        <f t="shared" si="24"/>
        <v>0</v>
      </c>
      <c r="F597" s="50" t="s">
        <v>28</v>
      </c>
      <c r="G597" s="38">
        <v>456</v>
      </c>
      <c r="H597" s="39">
        <f t="shared" si="23"/>
        <v>0</v>
      </c>
      <c r="I597" s="51"/>
      <c r="J597" s="52"/>
      <c r="L597" s="53"/>
      <c r="M597" s="54"/>
      <c r="N597" s="55"/>
    </row>
    <row r="598" spans="1:14" ht="15.75" customHeight="1" x14ac:dyDescent="0.2">
      <c r="A598">
        <v>558</v>
      </c>
      <c r="B598" s="33" t="s">
        <v>375</v>
      </c>
      <c r="C598" s="34"/>
      <c r="D598" s="35"/>
      <c r="E598" s="36">
        <f t="shared" si="24"/>
        <v>0</v>
      </c>
      <c r="F598" s="50" t="s">
        <v>28</v>
      </c>
      <c r="G598" s="38">
        <v>374</v>
      </c>
      <c r="H598" s="39">
        <f t="shared" si="23"/>
        <v>0</v>
      </c>
      <c r="I598" s="51"/>
      <c r="J598" s="52"/>
      <c r="L598" s="53"/>
      <c r="M598" s="54"/>
      <c r="N598" s="55"/>
    </row>
    <row r="599" spans="1:14" ht="15.75" customHeight="1" x14ac:dyDescent="0.2">
      <c r="A599">
        <v>559</v>
      </c>
      <c r="B599" s="33" t="s">
        <v>376</v>
      </c>
      <c r="C599" s="34"/>
      <c r="D599" s="35"/>
      <c r="E599" s="36">
        <f t="shared" si="24"/>
        <v>0</v>
      </c>
      <c r="F599" s="50" t="s">
        <v>28</v>
      </c>
      <c r="G599" s="38">
        <v>311</v>
      </c>
      <c r="H599" s="39">
        <f t="shared" si="23"/>
        <v>0</v>
      </c>
      <c r="I599" s="51"/>
      <c r="J599" s="52"/>
      <c r="L599" s="53"/>
      <c r="M599" s="54"/>
      <c r="N599" s="55"/>
    </row>
    <row r="600" spans="1:14" ht="33" x14ac:dyDescent="0.2">
      <c r="A600">
        <v>560</v>
      </c>
      <c r="B600" s="33" t="s">
        <v>377</v>
      </c>
      <c r="C600" s="34"/>
      <c r="D600" s="35"/>
      <c r="E600" s="36">
        <f t="shared" si="24"/>
        <v>0</v>
      </c>
      <c r="F600" s="50" t="s">
        <v>28</v>
      </c>
      <c r="G600" s="38">
        <v>1730</v>
      </c>
      <c r="H600" s="39">
        <f t="shared" si="23"/>
        <v>0</v>
      </c>
      <c r="I600" s="51"/>
      <c r="J600" s="52"/>
      <c r="L600" s="53"/>
      <c r="M600" s="54"/>
      <c r="N600" s="55"/>
    </row>
    <row r="601" spans="1:14" ht="15.75" customHeight="1" x14ac:dyDescent="0.2">
      <c r="A601">
        <v>561</v>
      </c>
      <c r="B601" s="33" t="s">
        <v>291</v>
      </c>
      <c r="C601" s="34"/>
      <c r="D601" s="35"/>
      <c r="E601" s="36">
        <f t="shared" si="24"/>
        <v>0</v>
      </c>
      <c r="F601" s="50" t="s">
        <v>28</v>
      </c>
      <c r="G601" s="38">
        <v>2159</v>
      </c>
      <c r="H601" s="39">
        <f t="shared" si="23"/>
        <v>0</v>
      </c>
      <c r="I601" s="51"/>
      <c r="J601" s="51"/>
    </row>
    <row r="602" spans="1:14" ht="15.75" customHeight="1" x14ac:dyDescent="0.2">
      <c r="A602">
        <v>562</v>
      </c>
      <c r="B602" s="33" t="s">
        <v>292</v>
      </c>
      <c r="C602" s="34"/>
      <c r="D602" s="35"/>
      <c r="E602" s="36">
        <f t="shared" si="24"/>
        <v>0</v>
      </c>
      <c r="F602" s="50" t="s">
        <v>28</v>
      </c>
      <c r="G602" s="38">
        <v>1441</v>
      </c>
      <c r="H602" s="39">
        <f t="shared" si="23"/>
        <v>0</v>
      </c>
      <c r="I602" s="51"/>
      <c r="J602" s="51"/>
    </row>
    <row r="603" spans="1:14" ht="15.75" customHeight="1" x14ac:dyDescent="0.2">
      <c r="A603">
        <v>563</v>
      </c>
      <c r="B603" s="33" t="s">
        <v>293</v>
      </c>
      <c r="C603" s="34"/>
      <c r="D603" s="35"/>
      <c r="E603" s="36">
        <f t="shared" si="24"/>
        <v>0</v>
      </c>
      <c r="F603" s="50" t="s">
        <v>28</v>
      </c>
      <c r="G603" s="38">
        <v>960</v>
      </c>
      <c r="H603" s="39">
        <f t="shared" si="23"/>
        <v>0</v>
      </c>
      <c r="I603" s="51"/>
      <c r="J603" s="51"/>
    </row>
    <row r="604" spans="1:14" ht="15.75" customHeight="1" x14ac:dyDescent="0.2">
      <c r="A604">
        <v>564</v>
      </c>
      <c r="B604" s="33" t="s">
        <v>294</v>
      </c>
      <c r="C604" s="34"/>
      <c r="D604" s="35"/>
      <c r="E604" s="36">
        <f t="shared" si="24"/>
        <v>0</v>
      </c>
      <c r="F604" s="50" t="s">
        <v>28</v>
      </c>
      <c r="G604" s="38">
        <v>641</v>
      </c>
      <c r="H604" s="39">
        <f t="shared" si="23"/>
        <v>0</v>
      </c>
      <c r="I604" s="51"/>
      <c r="J604" s="51"/>
    </row>
    <row r="605" spans="1:14" ht="15.75" customHeight="1" x14ac:dyDescent="0.2">
      <c r="A605">
        <v>565</v>
      </c>
      <c r="B605" s="33" t="s">
        <v>295</v>
      </c>
      <c r="C605" s="34"/>
      <c r="D605" s="35"/>
      <c r="E605" s="36">
        <f t="shared" si="24"/>
        <v>0</v>
      </c>
      <c r="F605" s="50" t="s">
        <v>28</v>
      </c>
      <c r="G605" s="38">
        <v>504</v>
      </c>
      <c r="H605" s="39">
        <f t="shared" si="23"/>
        <v>0</v>
      </c>
      <c r="I605" s="51"/>
      <c r="J605" s="51"/>
    </row>
    <row r="606" spans="1:14" ht="15.75" customHeight="1" x14ac:dyDescent="0.2">
      <c r="A606">
        <v>566</v>
      </c>
      <c r="B606" s="33" t="s">
        <v>296</v>
      </c>
      <c r="C606" s="34"/>
      <c r="D606" s="35"/>
      <c r="E606" s="36">
        <f t="shared" si="24"/>
        <v>0</v>
      </c>
      <c r="F606" s="50" t="s">
        <v>28</v>
      </c>
      <c r="G606" s="38">
        <v>1595</v>
      </c>
      <c r="H606" s="39">
        <f t="shared" si="23"/>
        <v>0</v>
      </c>
      <c r="I606" s="51"/>
      <c r="J606" s="51"/>
    </row>
    <row r="607" spans="1:14" ht="15.75" customHeight="1" x14ac:dyDescent="0.2">
      <c r="A607">
        <v>567</v>
      </c>
      <c r="B607" s="33" t="s">
        <v>297</v>
      </c>
      <c r="C607" s="34"/>
      <c r="D607" s="35"/>
      <c r="E607" s="36">
        <f t="shared" si="24"/>
        <v>0</v>
      </c>
      <c r="F607" s="50" t="s">
        <v>28</v>
      </c>
      <c r="G607" s="38">
        <v>1307</v>
      </c>
      <c r="H607" s="39">
        <f t="shared" si="23"/>
        <v>0</v>
      </c>
      <c r="I607" s="51"/>
      <c r="J607" s="51"/>
    </row>
    <row r="608" spans="1:14" ht="15.75" customHeight="1" x14ac:dyDescent="0.2">
      <c r="A608">
        <v>568</v>
      </c>
      <c r="B608" s="33" t="s">
        <v>298</v>
      </c>
      <c r="C608" s="34"/>
      <c r="D608" s="35"/>
      <c r="E608" s="36">
        <f t="shared" si="24"/>
        <v>0</v>
      </c>
      <c r="F608" s="50" t="s">
        <v>28</v>
      </c>
      <c r="G608" s="38">
        <v>1115</v>
      </c>
      <c r="H608" s="39">
        <f t="shared" si="23"/>
        <v>0</v>
      </c>
      <c r="I608" s="51"/>
      <c r="J608" s="51"/>
    </row>
    <row r="609" spans="1:14" ht="15.75" customHeight="1" x14ac:dyDescent="0.2">
      <c r="A609">
        <v>569</v>
      </c>
      <c r="B609" s="33" t="s">
        <v>299</v>
      </c>
      <c r="C609" s="34"/>
      <c r="D609" s="35"/>
      <c r="E609" s="36">
        <f t="shared" si="24"/>
        <v>0</v>
      </c>
      <c r="F609" s="50" t="s">
        <v>28</v>
      </c>
      <c r="G609" s="38">
        <v>13680</v>
      </c>
      <c r="H609" s="39">
        <f t="shared" si="23"/>
        <v>0</v>
      </c>
      <c r="I609" s="51"/>
      <c r="J609" s="51"/>
    </row>
    <row r="610" spans="1:14" ht="15.75" customHeight="1" x14ac:dyDescent="0.2">
      <c r="A610">
        <v>570</v>
      </c>
      <c r="B610" s="33" t="s">
        <v>300</v>
      </c>
      <c r="C610" s="34"/>
      <c r="D610" s="35"/>
      <c r="E610" s="36">
        <f t="shared" si="24"/>
        <v>0</v>
      </c>
      <c r="F610" s="50" t="s">
        <v>28</v>
      </c>
      <c r="G610" s="38">
        <v>11002</v>
      </c>
      <c r="H610" s="39">
        <f t="shared" si="23"/>
        <v>0</v>
      </c>
      <c r="I610" s="51"/>
      <c r="J610" s="51"/>
    </row>
    <row r="611" spans="1:14" ht="15.75" customHeight="1" x14ac:dyDescent="0.2">
      <c r="A611">
        <v>571</v>
      </c>
      <c r="B611" s="33" t="s">
        <v>301</v>
      </c>
      <c r="C611" s="34"/>
      <c r="D611" s="35"/>
      <c r="E611" s="36">
        <f t="shared" si="24"/>
        <v>0</v>
      </c>
      <c r="F611" s="50" t="s">
        <v>28</v>
      </c>
      <c r="G611" s="38">
        <v>3834</v>
      </c>
      <c r="H611" s="39">
        <f t="shared" si="23"/>
        <v>0</v>
      </c>
      <c r="I611" s="51"/>
      <c r="J611" s="51"/>
    </row>
    <row r="612" spans="1:14" ht="15.75" customHeight="1" x14ac:dyDescent="0.2">
      <c r="A612">
        <v>572</v>
      </c>
      <c r="B612" s="33" t="s">
        <v>302</v>
      </c>
      <c r="C612" s="34"/>
      <c r="D612" s="35"/>
      <c r="E612" s="36">
        <f t="shared" si="24"/>
        <v>0</v>
      </c>
      <c r="F612" s="50" t="s">
        <v>28</v>
      </c>
      <c r="G612" s="38">
        <v>3477</v>
      </c>
      <c r="H612" s="39">
        <f t="shared" si="23"/>
        <v>0</v>
      </c>
      <c r="I612" s="51"/>
      <c r="J612" s="51"/>
    </row>
    <row r="613" spans="1:14" ht="15.75" customHeight="1" x14ac:dyDescent="0.2">
      <c r="A613">
        <v>573</v>
      </c>
      <c r="B613" s="33" t="s">
        <v>303</v>
      </c>
      <c r="C613" s="34"/>
      <c r="D613" s="35"/>
      <c r="E613" s="36">
        <f t="shared" si="24"/>
        <v>0</v>
      </c>
      <c r="F613" s="50" t="s">
        <v>28</v>
      </c>
      <c r="G613" s="38">
        <v>3274</v>
      </c>
      <c r="H613" s="39">
        <f t="shared" si="23"/>
        <v>0</v>
      </c>
      <c r="I613" s="51"/>
      <c r="J613" s="51"/>
    </row>
    <row r="614" spans="1:14" ht="15.75" customHeight="1" x14ac:dyDescent="0.2">
      <c r="A614">
        <v>574</v>
      </c>
      <c r="B614" s="33" t="s">
        <v>304</v>
      </c>
      <c r="C614" s="34"/>
      <c r="D614" s="35"/>
      <c r="E614" s="36">
        <f t="shared" si="24"/>
        <v>0</v>
      </c>
      <c r="F614" s="50" t="s">
        <v>28</v>
      </c>
      <c r="G614" s="38">
        <v>2569</v>
      </c>
      <c r="H614" s="39">
        <f t="shared" si="23"/>
        <v>0</v>
      </c>
      <c r="I614" s="51"/>
      <c r="J614" s="51"/>
    </row>
    <row r="615" spans="1:14" ht="15.75" customHeight="1" x14ac:dyDescent="0.2">
      <c r="A615">
        <v>575</v>
      </c>
      <c r="B615" s="33" t="s">
        <v>305</v>
      </c>
      <c r="C615" s="34"/>
      <c r="D615" s="35"/>
      <c r="E615" s="36">
        <f t="shared" si="24"/>
        <v>0</v>
      </c>
      <c r="F615" s="50" t="s">
        <v>28</v>
      </c>
      <c r="G615" s="38">
        <v>2164</v>
      </c>
      <c r="H615" s="39">
        <f t="shared" si="23"/>
        <v>0</v>
      </c>
      <c r="I615" s="51"/>
      <c r="J615" s="51"/>
    </row>
    <row r="616" spans="1:14" ht="15.75" customHeight="1" x14ac:dyDescent="0.2">
      <c r="A616">
        <v>576</v>
      </c>
      <c r="B616" s="33" t="s">
        <v>378</v>
      </c>
      <c r="C616" s="34"/>
      <c r="D616" s="35"/>
      <c r="E616" s="36">
        <f t="shared" si="24"/>
        <v>0</v>
      </c>
      <c r="F616" s="50" t="s">
        <v>28</v>
      </c>
      <c r="G616" s="38">
        <v>970</v>
      </c>
      <c r="H616" s="39">
        <f t="shared" si="23"/>
        <v>0</v>
      </c>
      <c r="I616" s="51"/>
      <c r="J616" s="51"/>
    </row>
    <row r="617" spans="1:14" ht="15.75" customHeight="1" x14ac:dyDescent="0.2">
      <c r="A617">
        <v>577</v>
      </c>
      <c r="B617" s="33" t="s">
        <v>379</v>
      </c>
      <c r="C617" s="34"/>
      <c r="D617" s="35"/>
      <c r="E617" s="36">
        <f t="shared" si="24"/>
        <v>0</v>
      </c>
      <c r="F617" s="50" t="s">
        <v>28</v>
      </c>
      <c r="G617" s="38">
        <v>900</v>
      </c>
      <c r="H617" s="39">
        <f t="shared" si="23"/>
        <v>0</v>
      </c>
      <c r="I617" s="51"/>
      <c r="J617" s="51"/>
    </row>
    <row r="618" spans="1:14" ht="15.75" customHeight="1" x14ac:dyDescent="0.2">
      <c r="A618">
        <v>578</v>
      </c>
      <c r="B618" s="33" t="s">
        <v>380</v>
      </c>
      <c r="C618" s="34"/>
      <c r="D618" s="35"/>
      <c r="E618" s="36">
        <f t="shared" si="24"/>
        <v>0</v>
      </c>
      <c r="F618" s="50" t="s">
        <v>28</v>
      </c>
      <c r="G618" s="38">
        <v>832</v>
      </c>
      <c r="H618" s="39">
        <f t="shared" si="23"/>
        <v>0</v>
      </c>
      <c r="I618" s="51"/>
      <c r="J618" s="51"/>
    </row>
    <row r="619" spans="1:14" ht="15.75" customHeight="1" x14ac:dyDescent="0.2">
      <c r="A619">
        <v>579</v>
      </c>
      <c r="B619" s="33" t="s">
        <v>315</v>
      </c>
      <c r="C619" s="34"/>
      <c r="D619" s="35"/>
      <c r="E619" s="36">
        <f t="shared" si="24"/>
        <v>0</v>
      </c>
      <c r="F619" s="50" t="s">
        <v>28</v>
      </c>
      <c r="G619" s="38">
        <v>486</v>
      </c>
      <c r="H619" s="39">
        <f t="shared" si="23"/>
        <v>0</v>
      </c>
      <c r="I619" s="51"/>
      <c r="J619" s="51"/>
    </row>
    <row r="620" spans="1:14" ht="15.75" customHeight="1" x14ac:dyDescent="0.2">
      <c r="A620">
        <v>580</v>
      </c>
      <c r="B620" s="33" t="s">
        <v>316</v>
      </c>
      <c r="C620" s="34"/>
      <c r="D620" s="35"/>
      <c r="E620" s="36">
        <f t="shared" si="24"/>
        <v>0</v>
      </c>
      <c r="F620" s="50" t="s">
        <v>28</v>
      </c>
      <c r="G620" s="38">
        <v>426</v>
      </c>
      <c r="H620" s="39">
        <f t="shared" si="23"/>
        <v>0</v>
      </c>
      <c r="I620" s="51"/>
      <c r="J620" s="51"/>
    </row>
    <row r="621" spans="1:14" ht="15.75" customHeight="1" x14ac:dyDescent="0.2">
      <c r="A621">
        <v>581</v>
      </c>
      <c r="B621" s="33" t="s">
        <v>317</v>
      </c>
      <c r="C621" s="34"/>
      <c r="D621" s="35"/>
      <c r="E621" s="36">
        <f t="shared" si="24"/>
        <v>0</v>
      </c>
      <c r="F621" s="50" t="s">
        <v>28</v>
      </c>
      <c r="G621" s="38">
        <v>363</v>
      </c>
      <c r="H621" s="39">
        <f t="shared" si="23"/>
        <v>0</v>
      </c>
      <c r="I621" s="51"/>
      <c r="J621" s="51"/>
    </row>
    <row r="622" spans="1:14" ht="15.75" customHeight="1" x14ac:dyDescent="0.2">
      <c r="A622">
        <v>582</v>
      </c>
      <c r="B622" s="33" t="s">
        <v>318</v>
      </c>
      <c r="C622" s="34"/>
      <c r="D622" s="35"/>
      <c r="E622" s="36">
        <f t="shared" si="24"/>
        <v>0</v>
      </c>
      <c r="F622" s="50" t="s">
        <v>28</v>
      </c>
      <c r="G622" s="38">
        <v>141</v>
      </c>
      <c r="H622" s="39">
        <f t="shared" si="23"/>
        <v>0</v>
      </c>
      <c r="I622" s="51"/>
      <c r="J622" s="51"/>
    </row>
    <row r="623" spans="1:14" ht="15.75" customHeight="1" x14ac:dyDescent="0.2">
      <c r="A623">
        <v>583</v>
      </c>
      <c r="B623" s="33" t="s">
        <v>381</v>
      </c>
      <c r="C623" s="34"/>
      <c r="D623" s="35"/>
      <c r="E623" s="36">
        <f t="shared" si="24"/>
        <v>0</v>
      </c>
      <c r="F623" s="50" t="s">
        <v>28</v>
      </c>
      <c r="G623" s="38">
        <v>1353</v>
      </c>
      <c r="H623" s="39">
        <f t="shared" si="23"/>
        <v>0</v>
      </c>
      <c r="I623" s="51"/>
      <c r="J623" s="52"/>
      <c r="L623" s="53"/>
      <c r="M623" s="54"/>
      <c r="N623" s="55"/>
    </row>
    <row r="624" spans="1:14" ht="15.75" customHeight="1" x14ac:dyDescent="0.3">
      <c r="A624">
        <v>584</v>
      </c>
      <c r="B624" s="60"/>
      <c r="C624" s="34"/>
      <c r="D624" s="35"/>
      <c r="E624" s="36"/>
      <c r="F624" s="61"/>
      <c r="G624" s="38"/>
      <c r="H624" s="39">
        <f t="shared" si="23"/>
        <v>0</v>
      </c>
      <c r="I624" s="51"/>
      <c r="J624" s="51"/>
    </row>
    <row r="625" spans="1:10" s="19" customFormat="1" ht="33.75" customHeight="1" x14ac:dyDescent="0.3">
      <c r="A625" s="19">
        <v>585</v>
      </c>
      <c r="B625" s="89" t="s">
        <v>382</v>
      </c>
      <c r="C625" s="21"/>
      <c r="D625" s="22"/>
      <c r="E625" s="48"/>
      <c r="F625" s="59"/>
      <c r="G625" s="31"/>
      <c r="H625" s="49">
        <f t="shared" si="23"/>
        <v>0</v>
      </c>
      <c r="I625" s="51"/>
      <c r="J625" s="51"/>
    </row>
    <row r="626" spans="1:10" ht="16.5" customHeight="1" x14ac:dyDescent="0.2">
      <c r="A626">
        <v>586</v>
      </c>
      <c r="B626" s="33" t="s">
        <v>206</v>
      </c>
      <c r="C626" s="34"/>
      <c r="D626" s="35"/>
      <c r="E626" s="36">
        <f t="shared" ref="E626:E689" si="25">SUM(C626:D626)</f>
        <v>0</v>
      </c>
      <c r="F626" s="50" t="s">
        <v>22</v>
      </c>
      <c r="G626" s="38">
        <v>403</v>
      </c>
      <c r="H626" s="39">
        <f t="shared" si="23"/>
        <v>0</v>
      </c>
      <c r="I626" s="51"/>
      <c r="J626" s="51"/>
    </row>
    <row r="627" spans="1:10" ht="16.5" customHeight="1" x14ac:dyDescent="0.2">
      <c r="A627">
        <v>587</v>
      </c>
      <c r="B627" s="33" t="s">
        <v>207</v>
      </c>
      <c r="C627" s="34"/>
      <c r="D627" s="35"/>
      <c r="E627" s="36">
        <f t="shared" si="25"/>
        <v>0</v>
      </c>
      <c r="F627" s="50" t="s">
        <v>22</v>
      </c>
      <c r="G627" s="38">
        <v>336</v>
      </c>
      <c r="H627" s="39">
        <f t="shared" si="23"/>
        <v>0</v>
      </c>
      <c r="I627" s="51"/>
      <c r="J627" s="51"/>
    </row>
    <row r="628" spans="1:10" ht="16.5" customHeight="1" x14ac:dyDescent="0.2">
      <c r="A628">
        <v>588</v>
      </c>
      <c r="B628" s="33" t="s">
        <v>208</v>
      </c>
      <c r="C628" s="34"/>
      <c r="D628" s="35"/>
      <c r="E628" s="36">
        <f t="shared" si="25"/>
        <v>0</v>
      </c>
      <c r="F628" s="50" t="s">
        <v>22</v>
      </c>
      <c r="G628" s="38">
        <v>245</v>
      </c>
      <c r="H628" s="39">
        <f t="shared" si="23"/>
        <v>0</v>
      </c>
      <c r="I628" s="51"/>
      <c r="J628" s="51"/>
    </row>
    <row r="629" spans="1:10" ht="16.5" customHeight="1" x14ac:dyDescent="0.2">
      <c r="A629">
        <v>589</v>
      </c>
      <c r="B629" s="33" t="s">
        <v>209</v>
      </c>
      <c r="C629" s="34"/>
      <c r="D629" s="35"/>
      <c r="E629" s="36">
        <f t="shared" si="25"/>
        <v>0</v>
      </c>
      <c r="F629" s="50" t="s">
        <v>22</v>
      </c>
      <c r="G629" s="38">
        <v>220</v>
      </c>
      <c r="H629" s="39">
        <f t="shared" si="23"/>
        <v>0</v>
      </c>
      <c r="I629" s="51"/>
      <c r="J629" s="51"/>
    </row>
    <row r="630" spans="1:10" ht="16.5" customHeight="1" x14ac:dyDescent="0.2">
      <c r="A630">
        <v>590</v>
      </c>
      <c r="B630" s="33" t="s">
        <v>210</v>
      </c>
      <c r="C630" s="34"/>
      <c r="D630" s="35"/>
      <c r="E630" s="36">
        <f t="shared" si="25"/>
        <v>0</v>
      </c>
      <c r="F630" s="50" t="s">
        <v>22</v>
      </c>
      <c r="G630" s="38">
        <v>162</v>
      </c>
      <c r="H630" s="39">
        <f t="shared" si="23"/>
        <v>0</v>
      </c>
      <c r="I630" s="51"/>
      <c r="J630" s="51"/>
    </row>
    <row r="631" spans="1:10" ht="16.5" customHeight="1" x14ac:dyDescent="0.2">
      <c r="A631">
        <v>591</v>
      </c>
      <c r="B631" s="33" t="s">
        <v>211</v>
      </c>
      <c r="C631" s="34"/>
      <c r="D631" s="35"/>
      <c r="E631" s="36">
        <f t="shared" si="25"/>
        <v>0</v>
      </c>
      <c r="F631" s="50" t="s">
        <v>22</v>
      </c>
      <c r="G631" s="38">
        <v>140</v>
      </c>
      <c r="H631" s="39">
        <f t="shared" ref="H631:H694" si="26">E631*G631</f>
        <v>0</v>
      </c>
      <c r="I631" s="51"/>
      <c r="J631" s="51"/>
    </row>
    <row r="632" spans="1:10" ht="16.5" customHeight="1" x14ac:dyDescent="0.2">
      <c r="A632">
        <v>592</v>
      </c>
      <c r="B632" s="33" t="s">
        <v>212</v>
      </c>
      <c r="C632" s="34"/>
      <c r="D632" s="35"/>
      <c r="E632" s="36">
        <f t="shared" si="25"/>
        <v>0</v>
      </c>
      <c r="F632" s="50" t="s">
        <v>22</v>
      </c>
      <c r="G632" s="38">
        <v>127</v>
      </c>
      <c r="H632" s="39">
        <f t="shared" si="26"/>
        <v>0</v>
      </c>
      <c r="I632" s="51"/>
      <c r="J632" s="51"/>
    </row>
    <row r="633" spans="1:10" ht="16.5" customHeight="1" x14ac:dyDescent="0.2">
      <c r="A633">
        <v>593</v>
      </c>
      <c r="B633" s="33" t="s">
        <v>213</v>
      </c>
      <c r="C633" s="34"/>
      <c r="D633" s="35"/>
      <c r="E633" s="36">
        <f t="shared" si="25"/>
        <v>0</v>
      </c>
      <c r="F633" s="50" t="s">
        <v>22</v>
      </c>
      <c r="G633" s="38">
        <v>79</v>
      </c>
      <c r="H633" s="39">
        <f t="shared" si="26"/>
        <v>0</v>
      </c>
      <c r="I633" s="51"/>
      <c r="J633" s="51"/>
    </row>
    <row r="634" spans="1:10" ht="16.5" customHeight="1" x14ac:dyDescent="0.2">
      <c r="A634">
        <v>594</v>
      </c>
      <c r="B634" s="33" t="s">
        <v>214</v>
      </c>
      <c r="C634" s="34"/>
      <c r="D634" s="35"/>
      <c r="E634" s="36">
        <f t="shared" si="25"/>
        <v>0</v>
      </c>
      <c r="F634" s="50" t="s">
        <v>22</v>
      </c>
      <c r="G634" s="38">
        <v>67</v>
      </c>
      <c r="H634" s="39">
        <f t="shared" si="26"/>
        <v>0</v>
      </c>
      <c r="I634" s="51"/>
      <c r="J634" s="51"/>
    </row>
    <row r="635" spans="1:10" ht="16.5" customHeight="1" x14ac:dyDescent="0.2">
      <c r="A635">
        <v>595</v>
      </c>
      <c r="B635" s="33" t="s">
        <v>217</v>
      </c>
      <c r="C635" s="34"/>
      <c r="D635" s="35"/>
      <c r="E635" s="36">
        <f t="shared" si="25"/>
        <v>0</v>
      </c>
      <c r="F635" s="50" t="s">
        <v>28</v>
      </c>
      <c r="G635" s="38">
        <v>233</v>
      </c>
      <c r="H635" s="39">
        <f t="shared" si="26"/>
        <v>0</v>
      </c>
      <c r="I635" s="51"/>
      <c r="J635" s="51"/>
    </row>
    <row r="636" spans="1:10" ht="16.5" customHeight="1" x14ac:dyDescent="0.2">
      <c r="A636">
        <v>596</v>
      </c>
      <c r="B636" s="33" t="s">
        <v>218</v>
      </c>
      <c r="C636" s="34"/>
      <c r="D636" s="35"/>
      <c r="E636" s="36">
        <f t="shared" si="25"/>
        <v>0</v>
      </c>
      <c r="F636" s="50" t="s">
        <v>28</v>
      </c>
      <c r="G636" s="38">
        <v>168</v>
      </c>
      <c r="H636" s="39">
        <f t="shared" si="26"/>
        <v>0</v>
      </c>
      <c r="I636" s="51"/>
      <c r="J636" s="51"/>
    </row>
    <row r="637" spans="1:10" ht="16.5" customHeight="1" x14ac:dyDescent="0.2">
      <c r="A637">
        <v>597</v>
      </c>
      <c r="B637" s="33" t="s">
        <v>219</v>
      </c>
      <c r="C637" s="34"/>
      <c r="D637" s="35"/>
      <c r="E637" s="36">
        <f t="shared" si="25"/>
        <v>0</v>
      </c>
      <c r="F637" s="50" t="s">
        <v>28</v>
      </c>
      <c r="G637" s="38">
        <v>125</v>
      </c>
      <c r="H637" s="39">
        <f t="shared" si="26"/>
        <v>0</v>
      </c>
      <c r="I637" s="51"/>
      <c r="J637" s="51"/>
    </row>
    <row r="638" spans="1:10" ht="16.5" customHeight="1" x14ac:dyDescent="0.2">
      <c r="A638">
        <v>598</v>
      </c>
      <c r="B638" s="33" t="s">
        <v>220</v>
      </c>
      <c r="C638" s="34"/>
      <c r="D638" s="35"/>
      <c r="E638" s="36">
        <f t="shared" si="25"/>
        <v>0</v>
      </c>
      <c r="F638" s="50" t="s">
        <v>28</v>
      </c>
      <c r="G638" s="38">
        <v>100</v>
      </c>
      <c r="H638" s="39">
        <f t="shared" si="26"/>
        <v>0</v>
      </c>
      <c r="I638" s="51"/>
      <c r="J638" s="51"/>
    </row>
    <row r="639" spans="1:10" ht="16.5" customHeight="1" x14ac:dyDescent="0.2">
      <c r="A639">
        <v>599</v>
      </c>
      <c r="B639" s="33" t="s">
        <v>221</v>
      </c>
      <c r="C639" s="34"/>
      <c r="D639" s="35"/>
      <c r="E639" s="36">
        <f t="shared" si="25"/>
        <v>0</v>
      </c>
      <c r="F639" s="50" t="s">
        <v>28</v>
      </c>
      <c r="G639" s="38">
        <v>83</v>
      </c>
      <c r="H639" s="39">
        <f t="shared" si="26"/>
        <v>0</v>
      </c>
      <c r="I639" s="51"/>
      <c r="J639" s="51"/>
    </row>
    <row r="640" spans="1:10" ht="16.5" customHeight="1" x14ac:dyDescent="0.2">
      <c r="A640">
        <v>600</v>
      </c>
      <c r="B640" s="33" t="s">
        <v>222</v>
      </c>
      <c r="C640" s="34"/>
      <c r="D640" s="35"/>
      <c r="E640" s="36">
        <f t="shared" si="25"/>
        <v>0</v>
      </c>
      <c r="F640" s="50" t="s">
        <v>28</v>
      </c>
      <c r="G640" s="38">
        <v>62</v>
      </c>
      <c r="H640" s="39">
        <f t="shared" si="26"/>
        <v>0</v>
      </c>
      <c r="I640" s="51"/>
      <c r="J640" s="51"/>
    </row>
    <row r="641" spans="1:10" ht="16.5" customHeight="1" x14ac:dyDescent="0.2">
      <c r="A641">
        <v>601</v>
      </c>
      <c r="B641" s="33" t="s">
        <v>223</v>
      </c>
      <c r="C641" s="34"/>
      <c r="D641" s="35"/>
      <c r="E641" s="36">
        <f t="shared" si="25"/>
        <v>0</v>
      </c>
      <c r="F641" s="50" t="s">
        <v>28</v>
      </c>
      <c r="G641" s="38">
        <v>54</v>
      </c>
      <c r="H641" s="39">
        <f t="shared" si="26"/>
        <v>0</v>
      </c>
      <c r="I641" s="51"/>
      <c r="J641" s="51"/>
    </row>
    <row r="642" spans="1:10" ht="16.5" customHeight="1" x14ac:dyDescent="0.2">
      <c r="A642">
        <v>602</v>
      </c>
      <c r="B642" s="33" t="s">
        <v>224</v>
      </c>
      <c r="C642" s="34"/>
      <c r="D642" s="35"/>
      <c r="E642" s="36">
        <f t="shared" si="25"/>
        <v>0</v>
      </c>
      <c r="F642" s="50" t="s">
        <v>28</v>
      </c>
      <c r="G642" s="38">
        <v>47</v>
      </c>
      <c r="H642" s="39">
        <f t="shared" si="26"/>
        <v>0</v>
      </c>
      <c r="I642" s="51"/>
      <c r="J642" s="51"/>
    </row>
    <row r="643" spans="1:10" ht="16.5" customHeight="1" x14ac:dyDescent="0.2">
      <c r="A643">
        <v>603</v>
      </c>
      <c r="B643" s="33" t="s">
        <v>225</v>
      </c>
      <c r="C643" s="34"/>
      <c r="D643" s="35"/>
      <c r="E643" s="36">
        <f t="shared" si="25"/>
        <v>0</v>
      </c>
      <c r="F643" s="50" t="s">
        <v>28</v>
      </c>
      <c r="G643" s="38">
        <v>37</v>
      </c>
      <c r="H643" s="39">
        <f t="shared" si="26"/>
        <v>0</v>
      </c>
      <c r="I643" s="51"/>
      <c r="J643" s="51"/>
    </row>
    <row r="644" spans="1:10" ht="16.5" customHeight="1" x14ac:dyDescent="0.2">
      <c r="A644">
        <v>604</v>
      </c>
      <c r="B644" s="33" t="s">
        <v>228</v>
      </c>
      <c r="C644" s="34"/>
      <c r="D644" s="35"/>
      <c r="E644" s="36">
        <f t="shared" si="25"/>
        <v>0</v>
      </c>
      <c r="F644" s="50" t="s">
        <v>28</v>
      </c>
      <c r="G644" s="38">
        <v>270</v>
      </c>
      <c r="H644" s="39">
        <f t="shared" si="26"/>
        <v>0</v>
      </c>
      <c r="I644" s="51"/>
      <c r="J644" s="51"/>
    </row>
    <row r="645" spans="1:10" ht="16.5" customHeight="1" x14ac:dyDescent="0.2">
      <c r="A645">
        <v>605</v>
      </c>
      <c r="B645" s="33" t="s">
        <v>229</v>
      </c>
      <c r="C645" s="34"/>
      <c r="D645" s="35"/>
      <c r="E645" s="36">
        <f t="shared" si="25"/>
        <v>0</v>
      </c>
      <c r="F645" s="50" t="s">
        <v>28</v>
      </c>
      <c r="G645" s="38">
        <v>195</v>
      </c>
      <c r="H645" s="39">
        <f t="shared" si="26"/>
        <v>0</v>
      </c>
      <c r="I645" s="51"/>
      <c r="J645" s="51"/>
    </row>
    <row r="646" spans="1:10" ht="16.5" customHeight="1" x14ac:dyDescent="0.2">
      <c r="A646">
        <v>606</v>
      </c>
      <c r="B646" s="33" t="s">
        <v>230</v>
      </c>
      <c r="C646" s="34"/>
      <c r="D646" s="35"/>
      <c r="E646" s="36">
        <f t="shared" si="25"/>
        <v>0</v>
      </c>
      <c r="F646" s="50" t="s">
        <v>28</v>
      </c>
      <c r="G646" s="38">
        <v>171</v>
      </c>
      <c r="H646" s="39">
        <f t="shared" si="26"/>
        <v>0</v>
      </c>
      <c r="I646" s="51"/>
      <c r="J646" s="51"/>
    </row>
    <row r="647" spans="1:10" ht="16.5" customHeight="1" x14ac:dyDescent="0.2">
      <c r="A647">
        <v>607</v>
      </c>
      <c r="B647" s="33" t="s">
        <v>231</v>
      </c>
      <c r="C647" s="34"/>
      <c r="D647" s="35"/>
      <c r="E647" s="36">
        <f t="shared" si="25"/>
        <v>0</v>
      </c>
      <c r="F647" s="50" t="s">
        <v>28</v>
      </c>
      <c r="G647" s="38">
        <v>141</v>
      </c>
      <c r="H647" s="39">
        <f t="shared" si="26"/>
        <v>0</v>
      </c>
      <c r="I647" s="51"/>
      <c r="J647" s="51"/>
    </row>
    <row r="648" spans="1:10" ht="16.5" customHeight="1" x14ac:dyDescent="0.2">
      <c r="A648">
        <v>608</v>
      </c>
      <c r="B648" s="33" t="s">
        <v>232</v>
      </c>
      <c r="C648" s="34"/>
      <c r="D648" s="35"/>
      <c r="E648" s="36">
        <f t="shared" si="25"/>
        <v>0</v>
      </c>
      <c r="F648" s="50" t="s">
        <v>28</v>
      </c>
      <c r="G648" s="38">
        <v>116</v>
      </c>
      <c r="H648" s="39">
        <f t="shared" si="26"/>
        <v>0</v>
      </c>
      <c r="I648" s="51"/>
      <c r="J648" s="51"/>
    </row>
    <row r="649" spans="1:10" ht="16.5" customHeight="1" x14ac:dyDescent="0.2">
      <c r="A649">
        <v>609</v>
      </c>
      <c r="B649" s="33" t="s">
        <v>233</v>
      </c>
      <c r="C649" s="34"/>
      <c r="D649" s="35"/>
      <c r="E649" s="36">
        <f t="shared" si="25"/>
        <v>0</v>
      </c>
      <c r="F649" s="50" t="s">
        <v>28</v>
      </c>
      <c r="G649" s="38">
        <v>85</v>
      </c>
      <c r="H649" s="39">
        <f t="shared" si="26"/>
        <v>0</v>
      </c>
      <c r="I649" s="51"/>
      <c r="J649" s="51"/>
    </row>
    <row r="650" spans="1:10" ht="16.5" customHeight="1" x14ac:dyDescent="0.2">
      <c r="A650">
        <v>610</v>
      </c>
      <c r="B650" s="33" t="s">
        <v>234</v>
      </c>
      <c r="C650" s="34"/>
      <c r="D650" s="35"/>
      <c r="E650" s="36">
        <f t="shared" si="25"/>
        <v>0</v>
      </c>
      <c r="F650" s="50" t="s">
        <v>28</v>
      </c>
      <c r="G650" s="38">
        <v>58</v>
      </c>
      <c r="H650" s="39">
        <f t="shared" si="26"/>
        <v>0</v>
      </c>
      <c r="I650" s="51"/>
      <c r="J650" s="51"/>
    </row>
    <row r="651" spans="1:10" ht="16.5" customHeight="1" x14ac:dyDescent="0.2">
      <c r="A651">
        <v>611</v>
      </c>
      <c r="B651" s="33" t="s">
        <v>235</v>
      </c>
      <c r="C651" s="34"/>
      <c r="D651" s="35"/>
      <c r="E651" s="36">
        <f t="shared" si="25"/>
        <v>0</v>
      </c>
      <c r="F651" s="50" t="s">
        <v>28</v>
      </c>
      <c r="G651" s="38">
        <v>42</v>
      </c>
      <c r="H651" s="39">
        <f t="shared" si="26"/>
        <v>0</v>
      </c>
      <c r="I651" s="51"/>
      <c r="J651" s="51"/>
    </row>
    <row r="652" spans="1:10" ht="16.5" customHeight="1" x14ac:dyDescent="0.2">
      <c r="A652">
        <v>612</v>
      </c>
      <c r="B652" s="33" t="s">
        <v>236</v>
      </c>
      <c r="C652" s="34"/>
      <c r="D652" s="35"/>
      <c r="E652" s="36">
        <f t="shared" si="25"/>
        <v>0</v>
      </c>
      <c r="F652" s="50" t="s">
        <v>28</v>
      </c>
      <c r="G652" s="38">
        <v>35</v>
      </c>
      <c r="H652" s="39">
        <f t="shared" si="26"/>
        <v>0</v>
      </c>
      <c r="I652" s="51"/>
      <c r="J652" s="51"/>
    </row>
    <row r="653" spans="1:10" ht="16.5" customHeight="1" x14ac:dyDescent="0.2">
      <c r="A653">
        <v>613</v>
      </c>
      <c r="B653" s="33" t="s">
        <v>259</v>
      </c>
      <c r="C653" s="34"/>
      <c r="D653" s="35"/>
      <c r="E653" s="36">
        <f t="shared" si="25"/>
        <v>0</v>
      </c>
      <c r="F653" s="50" t="s">
        <v>22</v>
      </c>
      <c r="G653" s="38">
        <v>329</v>
      </c>
      <c r="H653" s="39">
        <f t="shared" si="26"/>
        <v>0</v>
      </c>
      <c r="I653" s="51"/>
      <c r="J653" s="51"/>
    </row>
    <row r="654" spans="1:10" ht="16.5" customHeight="1" x14ac:dyDescent="0.2">
      <c r="A654">
        <v>614</v>
      </c>
      <c r="B654" s="33" t="s">
        <v>260</v>
      </c>
      <c r="C654" s="34"/>
      <c r="D654" s="35"/>
      <c r="E654" s="36">
        <f t="shared" si="25"/>
        <v>0</v>
      </c>
      <c r="F654" s="50" t="s">
        <v>22</v>
      </c>
      <c r="G654" s="38">
        <v>266</v>
      </c>
      <c r="H654" s="39">
        <f t="shared" si="26"/>
        <v>0</v>
      </c>
      <c r="I654" s="51"/>
      <c r="J654" s="51"/>
    </row>
    <row r="655" spans="1:10" ht="16.5" customHeight="1" x14ac:dyDescent="0.2">
      <c r="A655">
        <v>615</v>
      </c>
      <c r="B655" s="33" t="s">
        <v>261</v>
      </c>
      <c r="C655" s="34"/>
      <c r="D655" s="35"/>
      <c r="E655" s="36">
        <f t="shared" si="25"/>
        <v>0</v>
      </c>
      <c r="F655" s="50" t="s">
        <v>22</v>
      </c>
      <c r="G655" s="38">
        <v>212</v>
      </c>
      <c r="H655" s="39">
        <f t="shared" si="26"/>
        <v>0</v>
      </c>
      <c r="I655" s="51"/>
      <c r="J655" s="51"/>
    </row>
    <row r="656" spans="1:10" ht="16.5" customHeight="1" x14ac:dyDescent="0.2">
      <c r="A656">
        <v>616</v>
      </c>
      <c r="B656" s="33" t="s">
        <v>262</v>
      </c>
      <c r="C656" s="34"/>
      <c r="D656" s="35"/>
      <c r="E656" s="36">
        <f t="shared" si="25"/>
        <v>0</v>
      </c>
      <c r="F656" s="50" t="s">
        <v>22</v>
      </c>
      <c r="G656" s="38">
        <v>180</v>
      </c>
      <c r="H656" s="39">
        <f t="shared" si="26"/>
        <v>0</v>
      </c>
      <c r="I656" s="51"/>
      <c r="J656" s="51"/>
    </row>
    <row r="657" spans="1:10" ht="16.5" customHeight="1" x14ac:dyDescent="0.2">
      <c r="A657">
        <v>617</v>
      </c>
      <c r="B657" s="33" t="s">
        <v>263</v>
      </c>
      <c r="C657" s="34"/>
      <c r="D657" s="35"/>
      <c r="E657" s="36">
        <f t="shared" si="25"/>
        <v>0</v>
      </c>
      <c r="F657" s="50" t="s">
        <v>22</v>
      </c>
      <c r="G657" s="38">
        <v>151</v>
      </c>
      <c r="H657" s="39">
        <f t="shared" si="26"/>
        <v>0</v>
      </c>
      <c r="I657" s="51"/>
      <c r="J657" s="51"/>
    </row>
    <row r="658" spans="1:10" ht="16.5" customHeight="1" x14ac:dyDescent="0.2">
      <c r="A658">
        <v>618</v>
      </c>
      <c r="B658" s="33" t="s">
        <v>264</v>
      </c>
      <c r="C658" s="34"/>
      <c r="D658" s="35"/>
      <c r="E658" s="36">
        <f t="shared" si="25"/>
        <v>0</v>
      </c>
      <c r="F658" s="50" t="s">
        <v>22</v>
      </c>
      <c r="G658" s="38">
        <v>137</v>
      </c>
      <c r="H658" s="39">
        <f t="shared" si="26"/>
        <v>0</v>
      </c>
      <c r="I658" s="51"/>
      <c r="J658" s="51"/>
    </row>
    <row r="659" spans="1:10" ht="16.5" customHeight="1" x14ac:dyDescent="0.2">
      <c r="A659">
        <v>619</v>
      </c>
      <c r="B659" s="33" t="s">
        <v>265</v>
      </c>
      <c r="C659" s="34"/>
      <c r="D659" s="35"/>
      <c r="E659" s="36">
        <f t="shared" si="25"/>
        <v>0</v>
      </c>
      <c r="F659" s="50" t="s">
        <v>22</v>
      </c>
      <c r="G659" s="38">
        <v>121</v>
      </c>
      <c r="H659" s="39">
        <f t="shared" si="26"/>
        <v>0</v>
      </c>
      <c r="I659" s="51"/>
      <c r="J659" s="51"/>
    </row>
    <row r="660" spans="1:10" ht="16.5" customHeight="1" x14ac:dyDescent="0.2">
      <c r="A660">
        <v>620</v>
      </c>
      <c r="B660" s="33" t="s">
        <v>266</v>
      </c>
      <c r="C660" s="34"/>
      <c r="D660" s="35"/>
      <c r="E660" s="36">
        <f t="shared" si="25"/>
        <v>0</v>
      </c>
      <c r="F660" s="50" t="s">
        <v>22</v>
      </c>
      <c r="G660" s="38">
        <v>112</v>
      </c>
      <c r="H660" s="39">
        <f t="shared" si="26"/>
        <v>0</v>
      </c>
      <c r="I660" s="51"/>
      <c r="J660" s="51"/>
    </row>
    <row r="661" spans="1:10" ht="16.5" customHeight="1" x14ac:dyDescent="0.2">
      <c r="A661">
        <v>621</v>
      </c>
      <c r="B661" s="33" t="s">
        <v>267</v>
      </c>
      <c r="C661" s="34"/>
      <c r="D661" s="35"/>
      <c r="E661" s="36">
        <f t="shared" si="25"/>
        <v>0</v>
      </c>
      <c r="F661" s="50" t="s">
        <v>28</v>
      </c>
      <c r="G661" s="38">
        <v>536</v>
      </c>
      <c r="H661" s="39">
        <f t="shared" si="26"/>
        <v>0</v>
      </c>
      <c r="I661" s="51"/>
      <c r="J661" s="51"/>
    </row>
    <row r="662" spans="1:10" ht="16.5" customHeight="1" x14ac:dyDescent="0.2">
      <c r="A662">
        <v>622</v>
      </c>
      <c r="B662" s="33" t="s">
        <v>268</v>
      </c>
      <c r="C662" s="34"/>
      <c r="D662" s="35"/>
      <c r="E662" s="36">
        <f t="shared" si="25"/>
        <v>0</v>
      </c>
      <c r="F662" s="50" t="s">
        <v>28</v>
      </c>
      <c r="G662" s="38">
        <v>345</v>
      </c>
      <c r="H662" s="39">
        <f t="shared" si="26"/>
        <v>0</v>
      </c>
      <c r="I662" s="51"/>
      <c r="J662" s="51"/>
    </row>
    <row r="663" spans="1:10" ht="16.5" customHeight="1" x14ac:dyDescent="0.2">
      <c r="A663">
        <v>623</v>
      </c>
      <c r="B663" s="33" t="s">
        <v>269</v>
      </c>
      <c r="C663" s="34"/>
      <c r="D663" s="35"/>
      <c r="E663" s="36">
        <f t="shared" si="25"/>
        <v>0</v>
      </c>
      <c r="F663" s="50" t="s">
        <v>28</v>
      </c>
      <c r="G663" s="38">
        <v>283</v>
      </c>
      <c r="H663" s="39">
        <f t="shared" si="26"/>
        <v>0</v>
      </c>
      <c r="I663" s="51"/>
      <c r="J663" s="51"/>
    </row>
    <row r="664" spans="1:10" ht="16.5" customHeight="1" x14ac:dyDescent="0.2">
      <c r="A664">
        <v>624</v>
      </c>
      <c r="B664" s="33" t="s">
        <v>270</v>
      </c>
      <c r="C664" s="34"/>
      <c r="D664" s="35"/>
      <c r="E664" s="36">
        <f t="shared" si="25"/>
        <v>0</v>
      </c>
      <c r="F664" s="50" t="s">
        <v>28</v>
      </c>
      <c r="G664" s="38">
        <v>228</v>
      </c>
      <c r="H664" s="39">
        <f t="shared" si="26"/>
        <v>0</v>
      </c>
      <c r="I664" s="51"/>
      <c r="J664" s="51"/>
    </row>
    <row r="665" spans="1:10" ht="16.5" customHeight="1" x14ac:dyDescent="0.2">
      <c r="A665">
        <v>625</v>
      </c>
      <c r="B665" s="33" t="s">
        <v>271</v>
      </c>
      <c r="C665" s="34"/>
      <c r="D665" s="35"/>
      <c r="E665" s="36">
        <f t="shared" si="25"/>
        <v>0</v>
      </c>
      <c r="F665" s="50" t="s">
        <v>28</v>
      </c>
      <c r="G665" s="38">
        <v>187</v>
      </c>
      <c r="H665" s="39">
        <f t="shared" si="26"/>
        <v>0</v>
      </c>
      <c r="I665" s="51"/>
      <c r="J665" s="51"/>
    </row>
    <row r="666" spans="1:10" ht="16.5" customHeight="1" x14ac:dyDescent="0.2">
      <c r="A666">
        <v>626</v>
      </c>
      <c r="B666" s="33" t="s">
        <v>272</v>
      </c>
      <c r="C666" s="34"/>
      <c r="D666" s="35"/>
      <c r="E666" s="36">
        <f t="shared" si="25"/>
        <v>0</v>
      </c>
      <c r="F666" s="50" t="s">
        <v>28</v>
      </c>
      <c r="G666" s="38">
        <v>158</v>
      </c>
      <c r="H666" s="39">
        <f t="shared" si="26"/>
        <v>0</v>
      </c>
      <c r="I666" s="51"/>
      <c r="J666" s="51"/>
    </row>
    <row r="667" spans="1:10" ht="16.5" customHeight="1" x14ac:dyDescent="0.2">
      <c r="A667">
        <v>627</v>
      </c>
      <c r="B667" s="33" t="s">
        <v>273</v>
      </c>
      <c r="C667" s="34"/>
      <c r="D667" s="35"/>
      <c r="E667" s="36">
        <f t="shared" si="25"/>
        <v>0</v>
      </c>
      <c r="F667" s="50" t="s">
        <v>28</v>
      </c>
      <c r="G667" s="38">
        <v>145</v>
      </c>
      <c r="H667" s="39">
        <f t="shared" si="26"/>
        <v>0</v>
      </c>
      <c r="I667" s="51"/>
      <c r="J667" s="51"/>
    </row>
    <row r="668" spans="1:10" ht="16.5" customHeight="1" x14ac:dyDescent="0.2">
      <c r="A668">
        <v>628</v>
      </c>
      <c r="B668" s="33" t="s">
        <v>274</v>
      </c>
      <c r="C668" s="34"/>
      <c r="D668" s="35"/>
      <c r="E668" s="36">
        <f t="shared" si="25"/>
        <v>0</v>
      </c>
      <c r="F668" s="50" t="s">
        <v>28</v>
      </c>
      <c r="G668" s="38">
        <v>137</v>
      </c>
      <c r="H668" s="39">
        <f t="shared" si="26"/>
        <v>0</v>
      </c>
      <c r="I668" s="51"/>
      <c r="J668" s="51"/>
    </row>
    <row r="669" spans="1:10" ht="16.5" customHeight="1" x14ac:dyDescent="0.2">
      <c r="A669">
        <v>629</v>
      </c>
      <c r="B669" s="33" t="s">
        <v>275</v>
      </c>
      <c r="C669" s="34"/>
      <c r="D669" s="35"/>
      <c r="E669" s="36">
        <f t="shared" si="25"/>
        <v>0</v>
      </c>
      <c r="F669" s="50" t="s">
        <v>28</v>
      </c>
      <c r="G669" s="38">
        <v>690</v>
      </c>
      <c r="H669" s="39">
        <f t="shared" si="26"/>
        <v>0</v>
      </c>
      <c r="I669" s="51"/>
      <c r="J669" s="51"/>
    </row>
    <row r="670" spans="1:10" ht="16.5" customHeight="1" x14ac:dyDescent="0.2">
      <c r="A670">
        <v>630</v>
      </c>
      <c r="B670" s="33" t="s">
        <v>276</v>
      </c>
      <c r="C670" s="34"/>
      <c r="D670" s="35"/>
      <c r="E670" s="36">
        <f t="shared" si="25"/>
        <v>0</v>
      </c>
      <c r="F670" s="50" t="s">
        <v>28</v>
      </c>
      <c r="G670" s="38">
        <v>432</v>
      </c>
      <c r="H670" s="39">
        <f t="shared" si="26"/>
        <v>0</v>
      </c>
      <c r="I670" s="51"/>
      <c r="J670" s="51"/>
    </row>
    <row r="671" spans="1:10" ht="16.5" customHeight="1" x14ac:dyDescent="0.2">
      <c r="A671">
        <v>631</v>
      </c>
      <c r="B671" s="33" t="s">
        <v>277</v>
      </c>
      <c r="C671" s="34"/>
      <c r="D671" s="35"/>
      <c r="E671" s="36">
        <f t="shared" si="25"/>
        <v>0</v>
      </c>
      <c r="F671" s="50" t="s">
        <v>28</v>
      </c>
      <c r="G671" s="38">
        <v>345</v>
      </c>
      <c r="H671" s="39">
        <f t="shared" si="26"/>
        <v>0</v>
      </c>
      <c r="I671" s="51"/>
      <c r="J671" s="51"/>
    </row>
    <row r="672" spans="1:10" ht="16.5" customHeight="1" x14ac:dyDescent="0.2">
      <c r="A672">
        <v>632</v>
      </c>
      <c r="B672" s="33" t="s">
        <v>278</v>
      </c>
      <c r="C672" s="34"/>
      <c r="D672" s="35"/>
      <c r="E672" s="36">
        <f t="shared" si="25"/>
        <v>0</v>
      </c>
      <c r="F672" s="50" t="s">
        <v>28</v>
      </c>
      <c r="G672" s="38">
        <v>291</v>
      </c>
      <c r="H672" s="39">
        <f t="shared" si="26"/>
        <v>0</v>
      </c>
      <c r="I672" s="51"/>
      <c r="J672" s="51"/>
    </row>
    <row r="673" spans="1:10" ht="16.5" customHeight="1" x14ac:dyDescent="0.2">
      <c r="A673">
        <v>633</v>
      </c>
      <c r="B673" s="33" t="s">
        <v>279</v>
      </c>
      <c r="C673" s="34"/>
      <c r="D673" s="35"/>
      <c r="E673" s="36">
        <f t="shared" si="25"/>
        <v>0</v>
      </c>
      <c r="F673" s="50" t="s">
        <v>28</v>
      </c>
      <c r="G673" s="38">
        <v>254</v>
      </c>
      <c r="H673" s="39">
        <f t="shared" si="26"/>
        <v>0</v>
      </c>
      <c r="I673" s="51"/>
      <c r="J673" s="51"/>
    </row>
    <row r="674" spans="1:10" ht="16.5" customHeight="1" x14ac:dyDescent="0.3">
      <c r="A674">
        <v>634</v>
      </c>
      <c r="B674" s="56" t="s">
        <v>280</v>
      </c>
      <c r="C674" s="34"/>
      <c r="D674" s="35"/>
      <c r="E674" s="36">
        <f t="shared" si="25"/>
        <v>0</v>
      </c>
      <c r="F674" s="50" t="s">
        <v>28</v>
      </c>
      <c r="G674" s="38">
        <v>191</v>
      </c>
      <c r="H674" s="39">
        <f t="shared" si="26"/>
        <v>0</v>
      </c>
      <c r="I674" s="51"/>
      <c r="J674" s="51"/>
    </row>
    <row r="675" spans="1:10" ht="16.5" customHeight="1" x14ac:dyDescent="0.2">
      <c r="A675">
        <v>635</v>
      </c>
      <c r="B675" s="33" t="s">
        <v>281</v>
      </c>
      <c r="C675" s="34"/>
      <c r="D675" s="35"/>
      <c r="E675" s="36">
        <f t="shared" si="25"/>
        <v>0</v>
      </c>
      <c r="F675" s="50" t="s">
        <v>28</v>
      </c>
      <c r="G675" s="38">
        <v>133</v>
      </c>
      <c r="H675" s="39">
        <f t="shared" si="26"/>
        <v>0</v>
      </c>
      <c r="I675" s="51"/>
      <c r="J675" s="51"/>
    </row>
    <row r="676" spans="1:10" ht="16.5" customHeight="1" x14ac:dyDescent="0.2">
      <c r="A676">
        <v>636</v>
      </c>
      <c r="B676" s="33" t="s">
        <v>282</v>
      </c>
      <c r="C676" s="34"/>
      <c r="D676" s="35"/>
      <c r="E676" s="36">
        <f t="shared" si="25"/>
        <v>0</v>
      </c>
      <c r="F676" s="50" t="s">
        <v>28</v>
      </c>
      <c r="G676" s="38">
        <v>121</v>
      </c>
      <c r="H676" s="39">
        <f t="shared" si="26"/>
        <v>0</v>
      </c>
      <c r="I676" s="51"/>
      <c r="J676" s="51"/>
    </row>
    <row r="677" spans="1:10" ht="16.5" customHeight="1" x14ac:dyDescent="0.2">
      <c r="A677">
        <v>637</v>
      </c>
      <c r="B677" s="33" t="s">
        <v>283</v>
      </c>
      <c r="C677" s="34"/>
      <c r="D677" s="35"/>
      <c r="E677" s="36">
        <f t="shared" si="25"/>
        <v>0</v>
      </c>
      <c r="F677" s="50" t="s">
        <v>28</v>
      </c>
      <c r="G677" s="38">
        <v>829</v>
      </c>
      <c r="H677" s="39">
        <f t="shared" si="26"/>
        <v>0</v>
      </c>
      <c r="I677" s="51"/>
      <c r="J677" s="51"/>
    </row>
    <row r="678" spans="1:10" ht="16.5" customHeight="1" x14ac:dyDescent="0.2">
      <c r="A678">
        <v>638</v>
      </c>
      <c r="B678" s="33" t="s">
        <v>284</v>
      </c>
      <c r="C678" s="34"/>
      <c r="D678" s="35"/>
      <c r="E678" s="36">
        <f t="shared" si="25"/>
        <v>0</v>
      </c>
      <c r="F678" s="50" t="s">
        <v>28</v>
      </c>
      <c r="G678" s="38">
        <v>646</v>
      </c>
      <c r="H678" s="39">
        <f t="shared" si="26"/>
        <v>0</v>
      </c>
      <c r="I678" s="51"/>
      <c r="J678" s="51"/>
    </row>
    <row r="679" spans="1:10" ht="16.5" customHeight="1" x14ac:dyDescent="0.2">
      <c r="A679">
        <v>639</v>
      </c>
      <c r="B679" s="33" t="s">
        <v>285</v>
      </c>
      <c r="C679" s="34"/>
      <c r="D679" s="35"/>
      <c r="E679" s="36">
        <f t="shared" si="25"/>
        <v>0</v>
      </c>
      <c r="F679" s="50" t="s">
        <v>28</v>
      </c>
      <c r="G679" s="38">
        <v>407</v>
      </c>
      <c r="H679" s="39">
        <f t="shared" si="26"/>
        <v>0</v>
      </c>
      <c r="I679" s="51"/>
      <c r="J679" s="51"/>
    </row>
    <row r="680" spans="1:10" ht="16.5" customHeight="1" x14ac:dyDescent="0.2">
      <c r="A680">
        <v>640</v>
      </c>
      <c r="B680" s="33" t="s">
        <v>286</v>
      </c>
      <c r="C680" s="34"/>
      <c r="D680" s="35"/>
      <c r="E680" s="36">
        <f t="shared" si="25"/>
        <v>0</v>
      </c>
      <c r="F680" s="50" t="s">
        <v>28</v>
      </c>
      <c r="G680" s="38">
        <v>300</v>
      </c>
      <c r="H680" s="39">
        <f t="shared" si="26"/>
        <v>0</v>
      </c>
      <c r="I680" s="51"/>
      <c r="J680" s="51"/>
    </row>
    <row r="681" spans="1:10" ht="16.5" customHeight="1" x14ac:dyDescent="0.2">
      <c r="A681">
        <v>641</v>
      </c>
      <c r="B681" s="33" t="s">
        <v>287</v>
      </c>
      <c r="C681" s="34"/>
      <c r="D681" s="35"/>
      <c r="E681" s="36">
        <f t="shared" si="25"/>
        <v>0</v>
      </c>
      <c r="F681" s="50" t="s">
        <v>28</v>
      </c>
      <c r="G681" s="38">
        <v>245</v>
      </c>
      <c r="H681" s="39">
        <f t="shared" si="26"/>
        <v>0</v>
      </c>
      <c r="I681" s="51"/>
      <c r="J681" s="51"/>
    </row>
    <row r="682" spans="1:10" ht="16.5" customHeight="1" x14ac:dyDescent="0.2">
      <c r="A682">
        <v>642</v>
      </c>
      <c r="B682" s="33" t="s">
        <v>288</v>
      </c>
      <c r="C682" s="34"/>
      <c r="D682" s="35"/>
      <c r="E682" s="36">
        <f t="shared" si="25"/>
        <v>0</v>
      </c>
      <c r="F682" s="50" t="s">
        <v>28</v>
      </c>
      <c r="G682" s="38">
        <v>183</v>
      </c>
      <c r="H682" s="39">
        <f t="shared" si="26"/>
        <v>0</v>
      </c>
      <c r="I682" s="51"/>
      <c r="J682" s="51"/>
    </row>
    <row r="683" spans="1:10" ht="16.5" customHeight="1" x14ac:dyDescent="0.2">
      <c r="A683">
        <v>643</v>
      </c>
      <c r="B683" s="33" t="s">
        <v>289</v>
      </c>
      <c r="C683" s="34"/>
      <c r="D683" s="35"/>
      <c r="E683" s="36">
        <f t="shared" si="25"/>
        <v>0</v>
      </c>
      <c r="F683" s="50" t="s">
        <v>28</v>
      </c>
      <c r="G683" s="38">
        <v>133</v>
      </c>
      <c r="H683" s="39">
        <f t="shared" si="26"/>
        <v>0</v>
      </c>
      <c r="I683" s="51"/>
      <c r="J683" s="51"/>
    </row>
    <row r="684" spans="1:10" ht="16.5" customHeight="1" x14ac:dyDescent="0.2">
      <c r="A684">
        <v>644</v>
      </c>
      <c r="B684" s="33" t="s">
        <v>290</v>
      </c>
      <c r="C684" s="34"/>
      <c r="D684" s="35"/>
      <c r="E684" s="36">
        <f t="shared" si="25"/>
        <v>0</v>
      </c>
      <c r="F684" s="50" t="s">
        <v>28</v>
      </c>
      <c r="G684" s="38">
        <v>96</v>
      </c>
      <c r="H684" s="39">
        <f t="shared" si="26"/>
        <v>0</v>
      </c>
      <c r="I684" s="51"/>
      <c r="J684" s="51"/>
    </row>
    <row r="685" spans="1:10" ht="16.5" customHeight="1" x14ac:dyDescent="0.2">
      <c r="A685">
        <v>645</v>
      </c>
      <c r="B685" s="33" t="s">
        <v>291</v>
      </c>
      <c r="C685" s="34"/>
      <c r="D685" s="35"/>
      <c r="E685" s="36">
        <f t="shared" si="25"/>
        <v>0</v>
      </c>
      <c r="F685" s="50" t="s">
        <v>28</v>
      </c>
      <c r="G685" s="38">
        <v>2159</v>
      </c>
      <c r="H685" s="39">
        <f t="shared" si="26"/>
        <v>0</v>
      </c>
      <c r="I685" s="51"/>
      <c r="J685" s="51"/>
    </row>
    <row r="686" spans="1:10" ht="16.5" customHeight="1" x14ac:dyDescent="0.2">
      <c r="A686">
        <v>646</v>
      </c>
      <c r="B686" s="33" t="s">
        <v>383</v>
      </c>
      <c r="C686" s="34"/>
      <c r="D686" s="35"/>
      <c r="E686" s="36">
        <f t="shared" si="25"/>
        <v>0</v>
      </c>
      <c r="F686" s="50" t="s">
        <v>28</v>
      </c>
      <c r="G686" s="38">
        <v>1441</v>
      </c>
      <c r="H686" s="39">
        <f t="shared" si="26"/>
        <v>0</v>
      </c>
      <c r="I686" s="51"/>
      <c r="J686" s="51"/>
    </row>
    <row r="687" spans="1:10" ht="16.5" customHeight="1" x14ac:dyDescent="0.2">
      <c r="A687">
        <v>647</v>
      </c>
      <c r="B687" s="33" t="s">
        <v>384</v>
      </c>
      <c r="C687" s="34"/>
      <c r="D687" s="35"/>
      <c r="E687" s="36">
        <f t="shared" si="25"/>
        <v>0</v>
      </c>
      <c r="F687" s="50" t="s">
        <v>28</v>
      </c>
      <c r="G687" s="38">
        <v>960</v>
      </c>
      <c r="H687" s="39">
        <f t="shared" si="26"/>
        <v>0</v>
      </c>
      <c r="I687" s="51"/>
      <c r="J687" s="51"/>
    </row>
    <row r="688" spans="1:10" ht="16.5" customHeight="1" x14ac:dyDescent="0.2">
      <c r="A688">
        <v>648</v>
      </c>
      <c r="B688" s="33" t="s">
        <v>385</v>
      </c>
      <c r="C688" s="34"/>
      <c r="D688" s="35"/>
      <c r="E688" s="36">
        <f t="shared" si="25"/>
        <v>0</v>
      </c>
      <c r="F688" s="50" t="s">
        <v>28</v>
      </c>
      <c r="G688" s="38">
        <v>641</v>
      </c>
      <c r="H688" s="39">
        <f t="shared" si="26"/>
        <v>0</v>
      </c>
      <c r="I688" s="51"/>
      <c r="J688" s="51"/>
    </row>
    <row r="689" spans="1:10" ht="16.5" customHeight="1" x14ac:dyDescent="0.2">
      <c r="A689">
        <v>649</v>
      </c>
      <c r="B689" s="33" t="s">
        <v>386</v>
      </c>
      <c r="C689" s="34"/>
      <c r="D689" s="35"/>
      <c r="E689" s="36">
        <f t="shared" si="25"/>
        <v>0</v>
      </c>
      <c r="F689" s="50" t="s">
        <v>28</v>
      </c>
      <c r="G689" s="38">
        <v>504</v>
      </c>
      <c r="H689" s="39">
        <f t="shared" si="26"/>
        <v>0</v>
      </c>
      <c r="I689" s="51"/>
      <c r="J689" s="51"/>
    </row>
    <row r="690" spans="1:10" ht="16.5" customHeight="1" x14ac:dyDescent="0.2">
      <c r="A690">
        <v>650</v>
      </c>
      <c r="B690" s="33" t="s">
        <v>296</v>
      </c>
      <c r="C690" s="34"/>
      <c r="D690" s="35"/>
      <c r="E690" s="36">
        <f t="shared" ref="E690:E714" si="27">SUM(C690:D690)</f>
        <v>0</v>
      </c>
      <c r="F690" s="50" t="s">
        <v>28</v>
      </c>
      <c r="G690" s="38">
        <v>1595</v>
      </c>
      <c r="H690" s="39">
        <f t="shared" si="26"/>
        <v>0</v>
      </c>
      <c r="I690" s="51"/>
      <c r="J690" s="51"/>
    </row>
    <row r="691" spans="1:10" ht="16.5" customHeight="1" x14ac:dyDescent="0.2">
      <c r="A691">
        <v>651</v>
      </c>
      <c r="B691" s="33" t="s">
        <v>297</v>
      </c>
      <c r="C691" s="34"/>
      <c r="D691" s="35"/>
      <c r="E691" s="36">
        <f t="shared" si="27"/>
        <v>0</v>
      </c>
      <c r="F691" s="50" t="s">
        <v>28</v>
      </c>
      <c r="G691" s="38">
        <v>1307</v>
      </c>
      <c r="H691" s="39">
        <f t="shared" si="26"/>
        <v>0</v>
      </c>
      <c r="I691" s="51"/>
      <c r="J691" s="51"/>
    </row>
    <row r="692" spans="1:10" ht="16.5" customHeight="1" x14ac:dyDescent="0.2">
      <c r="A692">
        <v>652</v>
      </c>
      <c r="B692" s="33" t="s">
        <v>298</v>
      </c>
      <c r="C692" s="34"/>
      <c r="D692" s="35"/>
      <c r="E692" s="36">
        <f t="shared" si="27"/>
        <v>0</v>
      </c>
      <c r="F692" s="50" t="s">
        <v>28</v>
      </c>
      <c r="G692" s="38">
        <v>1115</v>
      </c>
      <c r="H692" s="39">
        <f t="shared" si="26"/>
        <v>0</v>
      </c>
      <c r="I692" s="51"/>
      <c r="J692" s="51"/>
    </row>
    <row r="693" spans="1:10" ht="16.5" customHeight="1" x14ac:dyDescent="0.2">
      <c r="A693">
        <v>653</v>
      </c>
      <c r="B693" s="33" t="s">
        <v>299</v>
      </c>
      <c r="C693" s="34"/>
      <c r="D693" s="35"/>
      <c r="E693" s="36">
        <f t="shared" si="27"/>
        <v>0</v>
      </c>
      <c r="F693" s="50" t="s">
        <v>28</v>
      </c>
      <c r="G693" s="38">
        <v>13680</v>
      </c>
      <c r="H693" s="39">
        <f t="shared" si="26"/>
        <v>0</v>
      </c>
      <c r="I693" s="51"/>
      <c r="J693" s="51"/>
    </row>
    <row r="694" spans="1:10" ht="16.5" customHeight="1" x14ac:dyDescent="0.2">
      <c r="A694">
        <v>654</v>
      </c>
      <c r="B694" s="33" t="s">
        <v>300</v>
      </c>
      <c r="C694" s="34"/>
      <c r="D694" s="35"/>
      <c r="E694" s="36">
        <f t="shared" si="27"/>
        <v>0</v>
      </c>
      <c r="F694" s="50" t="s">
        <v>28</v>
      </c>
      <c r="G694" s="38">
        <v>11002</v>
      </c>
      <c r="H694" s="39">
        <f t="shared" si="26"/>
        <v>0</v>
      </c>
      <c r="I694" s="51"/>
      <c r="J694" s="51"/>
    </row>
    <row r="695" spans="1:10" ht="16.5" customHeight="1" x14ac:dyDescent="0.2">
      <c r="A695">
        <v>655</v>
      </c>
      <c r="B695" s="33" t="s">
        <v>301</v>
      </c>
      <c r="C695" s="34"/>
      <c r="D695" s="35"/>
      <c r="E695" s="36">
        <f t="shared" si="27"/>
        <v>0</v>
      </c>
      <c r="F695" s="50" t="s">
        <v>28</v>
      </c>
      <c r="G695" s="38">
        <v>3834</v>
      </c>
      <c r="H695" s="39">
        <f t="shared" ref="H695:H777" si="28">E695*G695</f>
        <v>0</v>
      </c>
      <c r="I695" s="51"/>
      <c r="J695" s="51"/>
    </row>
    <row r="696" spans="1:10" ht="16.5" customHeight="1" x14ac:dyDescent="0.2">
      <c r="A696">
        <v>656</v>
      </c>
      <c r="B696" s="33" t="s">
        <v>302</v>
      </c>
      <c r="C696" s="34"/>
      <c r="D696" s="35"/>
      <c r="E696" s="36">
        <f t="shared" si="27"/>
        <v>0</v>
      </c>
      <c r="F696" s="50" t="s">
        <v>28</v>
      </c>
      <c r="G696" s="38">
        <v>3477</v>
      </c>
      <c r="H696" s="39">
        <f t="shared" si="28"/>
        <v>0</v>
      </c>
      <c r="I696" s="51"/>
      <c r="J696" s="51"/>
    </row>
    <row r="697" spans="1:10" ht="16.5" customHeight="1" x14ac:dyDescent="0.2">
      <c r="A697">
        <v>657</v>
      </c>
      <c r="B697" s="33" t="s">
        <v>303</v>
      </c>
      <c r="C697" s="34"/>
      <c r="D697" s="35"/>
      <c r="E697" s="36">
        <f t="shared" si="27"/>
        <v>0</v>
      </c>
      <c r="F697" s="50" t="s">
        <v>28</v>
      </c>
      <c r="G697" s="38">
        <v>3274</v>
      </c>
      <c r="H697" s="39">
        <f t="shared" si="28"/>
        <v>0</v>
      </c>
      <c r="I697" s="51"/>
      <c r="J697" s="51"/>
    </row>
    <row r="698" spans="1:10" ht="16.5" customHeight="1" x14ac:dyDescent="0.2">
      <c r="A698">
        <v>658</v>
      </c>
      <c r="B698" s="33" t="s">
        <v>304</v>
      </c>
      <c r="C698" s="34"/>
      <c r="D698" s="35"/>
      <c r="E698" s="36">
        <f t="shared" si="27"/>
        <v>0</v>
      </c>
      <c r="F698" s="50" t="s">
        <v>28</v>
      </c>
      <c r="G698" s="38">
        <v>2569</v>
      </c>
      <c r="H698" s="39">
        <f t="shared" si="28"/>
        <v>0</v>
      </c>
      <c r="I698" s="51"/>
      <c r="J698" s="51"/>
    </row>
    <row r="699" spans="1:10" ht="16.5" customHeight="1" x14ac:dyDescent="0.2">
      <c r="A699">
        <v>659</v>
      </c>
      <c r="B699" s="33" t="s">
        <v>305</v>
      </c>
      <c r="C699" s="34"/>
      <c r="D699" s="35"/>
      <c r="E699" s="36">
        <f t="shared" si="27"/>
        <v>0</v>
      </c>
      <c r="F699" s="50" t="s">
        <v>28</v>
      </c>
      <c r="G699" s="38">
        <v>2164</v>
      </c>
      <c r="H699" s="39">
        <f t="shared" si="28"/>
        <v>0</v>
      </c>
      <c r="I699" s="51"/>
      <c r="J699" s="51"/>
    </row>
    <row r="700" spans="1:10" ht="16.5" customHeight="1" x14ac:dyDescent="0.2">
      <c r="A700">
        <v>660</v>
      </c>
      <c r="B700" s="33" t="s">
        <v>306</v>
      </c>
      <c r="C700" s="34"/>
      <c r="D700" s="35"/>
      <c r="E700" s="36">
        <f t="shared" si="27"/>
        <v>0</v>
      </c>
      <c r="F700" s="50" t="s">
        <v>28</v>
      </c>
      <c r="G700" s="38">
        <v>407</v>
      </c>
      <c r="H700" s="39">
        <f t="shared" si="28"/>
        <v>0</v>
      </c>
      <c r="I700" s="51"/>
      <c r="J700" s="51"/>
    </row>
    <row r="701" spans="1:10" ht="16.5" customHeight="1" x14ac:dyDescent="0.2">
      <c r="A701">
        <v>661</v>
      </c>
      <c r="B701" s="33" t="s">
        <v>307</v>
      </c>
      <c r="C701" s="34"/>
      <c r="D701" s="35"/>
      <c r="E701" s="36">
        <f t="shared" si="27"/>
        <v>0</v>
      </c>
      <c r="F701" s="50" t="s">
        <v>28</v>
      </c>
      <c r="G701" s="38">
        <v>299</v>
      </c>
      <c r="H701" s="39">
        <f t="shared" si="28"/>
        <v>0</v>
      </c>
      <c r="I701" s="51"/>
      <c r="J701" s="51"/>
    </row>
    <row r="702" spans="1:10" ht="16.5" customHeight="1" x14ac:dyDescent="0.2">
      <c r="A702">
        <v>662</v>
      </c>
      <c r="B702" s="33" t="s">
        <v>308</v>
      </c>
      <c r="C702" s="34"/>
      <c r="D702" s="35"/>
      <c r="E702" s="36">
        <f t="shared" si="27"/>
        <v>0</v>
      </c>
      <c r="F702" s="50" t="s">
        <v>28</v>
      </c>
      <c r="G702" s="38">
        <v>247</v>
      </c>
      <c r="H702" s="39">
        <f t="shared" si="28"/>
        <v>0</v>
      </c>
      <c r="I702" s="51"/>
      <c r="J702" s="51"/>
    </row>
    <row r="703" spans="1:10" ht="16.5" customHeight="1" x14ac:dyDescent="0.2">
      <c r="A703">
        <v>663</v>
      </c>
      <c r="B703" s="33" t="s">
        <v>309</v>
      </c>
      <c r="C703" s="34"/>
      <c r="D703" s="35"/>
      <c r="E703" s="36">
        <f t="shared" si="27"/>
        <v>0</v>
      </c>
      <c r="F703" s="50" t="s">
        <v>28</v>
      </c>
      <c r="G703" s="38">
        <v>173</v>
      </c>
      <c r="H703" s="39">
        <f t="shared" si="28"/>
        <v>0</v>
      </c>
      <c r="I703" s="51"/>
      <c r="J703" s="51"/>
    </row>
    <row r="704" spans="1:10" ht="16.5" customHeight="1" x14ac:dyDescent="0.2">
      <c r="A704">
        <v>664</v>
      </c>
      <c r="B704" s="33" t="s">
        <v>310</v>
      </c>
      <c r="C704" s="34"/>
      <c r="D704" s="35"/>
      <c r="E704" s="36">
        <f t="shared" si="27"/>
        <v>0</v>
      </c>
      <c r="F704" s="50" t="s">
        <v>28</v>
      </c>
      <c r="G704" s="38">
        <v>136</v>
      </c>
      <c r="H704" s="39">
        <f t="shared" si="28"/>
        <v>0</v>
      </c>
      <c r="I704" s="51"/>
      <c r="J704" s="51"/>
    </row>
    <row r="705" spans="1:14" ht="16.5" customHeight="1" x14ac:dyDescent="0.2">
      <c r="A705">
        <v>665</v>
      </c>
      <c r="B705" s="33" t="s">
        <v>311</v>
      </c>
      <c r="C705" s="34"/>
      <c r="D705" s="35"/>
      <c r="E705" s="36">
        <f t="shared" si="27"/>
        <v>0</v>
      </c>
      <c r="F705" s="50" t="s">
        <v>28</v>
      </c>
      <c r="G705" s="38">
        <v>118</v>
      </c>
      <c r="H705" s="39">
        <f t="shared" si="28"/>
        <v>0</v>
      </c>
      <c r="I705" s="51"/>
      <c r="J705" s="51"/>
    </row>
    <row r="706" spans="1:14" ht="16.5" customHeight="1" x14ac:dyDescent="0.2">
      <c r="A706">
        <v>666</v>
      </c>
      <c r="B706" s="33" t="s">
        <v>322</v>
      </c>
      <c r="C706" s="34"/>
      <c r="D706" s="35"/>
      <c r="E706" s="36">
        <f t="shared" si="27"/>
        <v>0</v>
      </c>
      <c r="F706" s="50" t="s">
        <v>28</v>
      </c>
      <c r="G706" s="38">
        <v>970</v>
      </c>
      <c r="H706" s="39">
        <f t="shared" si="28"/>
        <v>0</v>
      </c>
      <c r="I706" s="51"/>
      <c r="J706" s="51"/>
    </row>
    <row r="707" spans="1:14" ht="16.5" customHeight="1" x14ac:dyDescent="0.2">
      <c r="A707">
        <v>667</v>
      </c>
      <c r="B707" s="33" t="s">
        <v>387</v>
      </c>
      <c r="C707" s="34"/>
      <c r="D707" s="35"/>
      <c r="E707" s="36">
        <f t="shared" si="27"/>
        <v>0</v>
      </c>
      <c r="F707" s="50" t="s">
        <v>28</v>
      </c>
      <c r="G707" s="38">
        <v>900</v>
      </c>
      <c r="H707" s="39">
        <f t="shared" si="28"/>
        <v>0</v>
      </c>
      <c r="I707" s="51"/>
      <c r="J707" s="51"/>
    </row>
    <row r="708" spans="1:14" ht="16.5" customHeight="1" x14ac:dyDescent="0.2">
      <c r="A708">
        <v>668</v>
      </c>
      <c r="B708" s="33" t="s">
        <v>388</v>
      </c>
      <c r="C708" s="34"/>
      <c r="D708" s="35"/>
      <c r="E708" s="36">
        <f t="shared" si="27"/>
        <v>0</v>
      </c>
      <c r="F708" s="50" t="s">
        <v>28</v>
      </c>
      <c r="G708" s="38">
        <v>832</v>
      </c>
      <c r="H708" s="39">
        <f t="shared" si="28"/>
        <v>0</v>
      </c>
      <c r="I708" s="51"/>
      <c r="J708" s="51"/>
    </row>
    <row r="709" spans="1:14" ht="16.5" customHeight="1" x14ac:dyDescent="0.2">
      <c r="A709">
        <v>669</v>
      </c>
      <c r="B709" s="33" t="s">
        <v>315</v>
      </c>
      <c r="C709" s="34"/>
      <c r="D709" s="35"/>
      <c r="E709" s="36">
        <f t="shared" si="27"/>
        <v>0</v>
      </c>
      <c r="F709" s="50" t="s">
        <v>28</v>
      </c>
      <c r="G709" s="38">
        <v>486</v>
      </c>
      <c r="H709" s="39">
        <f t="shared" si="28"/>
        <v>0</v>
      </c>
      <c r="I709" s="51"/>
      <c r="J709" s="51"/>
    </row>
    <row r="710" spans="1:14" ht="16.5" customHeight="1" x14ac:dyDescent="0.2">
      <c r="A710">
        <v>670</v>
      </c>
      <c r="B710" s="33" t="s">
        <v>316</v>
      </c>
      <c r="C710" s="34"/>
      <c r="D710" s="35"/>
      <c r="E710" s="36">
        <f t="shared" si="27"/>
        <v>0</v>
      </c>
      <c r="F710" s="50" t="s">
        <v>28</v>
      </c>
      <c r="G710" s="38">
        <v>426</v>
      </c>
      <c r="H710" s="39">
        <f t="shared" si="28"/>
        <v>0</v>
      </c>
      <c r="I710" s="51"/>
      <c r="J710" s="51"/>
    </row>
    <row r="711" spans="1:14" ht="16.5" customHeight="1" x14ac:dyDescent="0.2">
      <c r="A711">
        <v>671</v>
      </c>
      <c r="B711" s="33" t="s">
        <v>317</v>
      </c>
      <c r="C711" s="34"/>
      <c r="D711" s="35"/>
      <c r="E711" s="36">
        <f t="shared" si="27"/>
        <v>0</v>
      </c>
      <c r="F711" s="50" t="s">
        <v>28</v>
      </c>
      <c r="G711" s="38">
        <v>363</v>
      </c>
      <c r="H711" s="39">
        <f t="shared" si="28"/>
        <v>0</v>
      </c>
      <c r="I711" s="51"/>
      <c r="J711" s="51"/>
    </row>
    <row r="712" spans="1:14" ht="16.5" customHeight="1" x14ac:dyDescent="0.2">
      <c r="A712">
        <v>672</v>
      </c>
      <c r="B712" s="33" t="s">
        <v>318</v>
      </c>
      <c r="C712" s="34"/>
      <c r="D712" s="35"/>
      <c r="E712" s="36">
        <f t="shared" si="27"/>
        <v>0</v>
      </c>
      <c r="F712" s="50" t="s">
        <v>28</v>
      </c>
      <c r="G712" s="38">
        <v>141</v>
      </c>
      <c r="H712" s="39">
        <f t="shared" si="28"/>
        <v>0</v>
      </c>
      <c r="I712" s="51"/>
      <c r="J712" s="51"/>
    </row>
    <row r="713" spans="1:14" ht="16.5" customHeight="1" x14ac:dyDescent="0.2">
      <c r="A713">
        <v>673</v>
      </c>
      <c r="B713" s="33" t="s">
        <v>319</v>
      </c>
      <c r="C713" s="34"/>
      <c r="D713" s="35"/>
      <c r="E713" s="36">
        <f t="shared" si="27"/>
        <v>0</v>
      </c>
      <c r="F713" s="50" t="s">
        <v>28</v>
      </c>
      <c r="G713" s="38">
        <v>754</v>
      </c>
      <c r="H713" s="39">
        <f t="shared" si="28"/>
        <v>0</v>
      </c>
      <c r="I713" s="51"/>
      <c r="J713" s="51"/>
    </row>
    <row r="714" spans="1:14" ht="16.5" customHeight="1" x14ac:dyDescent="0.2">
      <c r="A714">
        <v>674</v>
      </c>
      <c r="B714" s="33" t="s">
        <v>323</v>
      </c>
      <c r="C714" s="34"/>
      <c r="D714" s="35"/>
      <c r="E714" s="36">
        <f t="shared" si="27"/>
        <v>0</v>
      </c>
      <c r="F714" s="50" t="s">
        <v>28</v>
      </c>
      <c r="G714" s="38">
        <v>41</v>
      </c>
      <c r="H714" s="39">
        <f t="shared" si="28"/>
        <v>0</v>
      </c>
      <c r="I714" s="51"/>
      <c r="J714" s="51"/>
    </row>
    <row r="715" spans="1:14" ht="16.5" customHeight="1" x14ac:dyDescent="0.2">
      <c r="A715">
        <v>674</v>
      </c>
      <c r="B715" s="33"/>
      <c r="C715" s="34"/>
      <c r="D715" s="35"/>
      <c r="E715" s="36"/>
      <c r="F715" s="50"/>
      <c r="G715" s="38"/>
      <c r="H715" s="39">
        <f>E715*G715</f>
        <v>0</v>
      </c>
      <c r="I715" s="51"/>
      <c r="J715" s="51"/>
    </row>
    <row r="716" spans="1:14" s="95" customFormat="1" ht="33.75" customHeight="1" x14ac:dyDescent="0.3">
      <c r="A716" s="19">
        <v>676</v>
      </c>
      <c r="B716" s="90" t="s">
        <v>389</v>
      </c>
      <c r="C716" s="21"/>
      <c r="D716" s="22"/>
      <c r="E716" s="91"/>
      <c r="F716" s="92"/>
      <c r="G716" s="93"/>
      <c r="H716" s="94">
        <f>E716*G716</f>
        <v>0</v>
      </c>
      <c r="I716" s="51"/>
      <c r="J716" s="51"/>
    </row>
    <row r="717" spans="1:14" ht="16.5" customHeight="1" x14ac:dyDescent="0.2">
      <c r="A717">
        <v>688</v>
      </c>
      <c r="B717" s="96" t="s">
        <v>390</v>
      </c>
      <c r="C717" s="34"/>
      <c r="D717" s="35"/>
      <c r="E717" s="36">
        <f t="shared" ref="E717:E744" si="29">SUM(C717:D717)</f>
        <v>0</v>
      </c>
      <c r="F717" s="50" t="s">
        <v>28</v>
      </c>
      <c r="G717" s="38">
        <v>329</v>
      </c>
      <c r="H717" s="39">
        <f>E717*G717</f>
        <v>0</v>
      </c>
      <c r="I717" s="51"/>
      <c r="J717" s="52"/>
      <c r="L717" s="53"/>
      <c r="M717" s="54"/>
      <c r="N717" s="55"/>
    </row>
    <row r="718" spans="1:14" ht="16.5" customHeight="1" x14ac:dyDescent="0.2">
      <c r="A718">
        <v>688</v>
      </c>
      <c r="B718" s="96" t="s">
        <v>391</v>
      </c>
      <c r="C718" s="34"/>
      <c r="D718" s="35"/>
      <c r="E718" s="36">
        <f t="shared" si="29"/>
        <v>0</v>
      </c>
      <c r="F718" s="50" t="s">
        <v>28</v>
      </c>
      <c r="G718" s="38">
        <v>572</v>
      </c>
      <c r="H718" s="39">
        <f t="shared" ref="H718:H740" si="30">E718*G718</f>
        <v>0</v>
      </c>
      <c r="I718" s="51"/>
      <c r="J718" s="52"/>
      <c r="L718" s="53"/>
      <c r="M718" s="54"/>
      <c r="N718" s="55"/>
    </row>
    <row r="719" spans="1:14" ht="16.5" customHeight="1" x14ac:dyDescent="0.2">
      <c r="A719">
        <v>689</v>
      </c>
      <c r="B719" s="96" t="s">
        <v>392</v>
      </c>
      <c r="C719" s="34"/>
      <c r="D719" s="35"/>
      <c r="E719" s="36">
        <f t="shared" si="29"/>
        <v>0</v>
      </c>
      <c r="F719" s="50" t="s">
        <v>28</v>
      </c>
      <c r="G719" s="38">
        <v>730</v>
      </c>
      <c r="H719" s="39">
        <f t="shared" si="30"/>
        <v>0</v>
      </c>
      <c r="I719" s="51"/>
      <c r="J719" s="52"/>
      <c r="L719" s="53"/>
      <c r="M719" s="54"/>
      <c r="N719" s="55"/>
    </row>
    <row r="720" spans="1:14" ht="16.5" customHeight="1" x14ac:dyDescent="0.2">
      <c r="A720">
        <v>690</v>
      </c>
      <c r="B720" s="96" t="s">
        <v>393</v>
      </c>
      <c r="C720" s="34"/>
      <c r="D720" s="35"/>
      <c r="E720" s="36">
        <f t="shared" si="29"/>
        <v>0</v>
      </c>
      <c r="F720" s="50" t="s">
        <v>28</v>
      </c>
      <c r="G720" s="38">
        <v>570</v>
      </c>
      <c r="H720" s="39">
        <f t="shared" si="30"/>
        <v>0</v>
      </c>
      <c r="I720" s="51"/>
      <c r="J720" s="52"/>
      <c r="L720" s="53"/>
      <c r="M720" s="54"/>
      <c r="N720" s="55"/>
    </row>
    <row r="721" spans="1:14" ht="16.5" customHeight="1" x14ac:dyDescent="0.2">
      <c r="A721">
        <v>690</v>
      </c>
      <c r="B721" s="96" t="s">
        <v>394</v>
      </c>
      <c r="C721" s="34"/>
      <c r="D721" s="35"/>
      <c r="E721" s="36">
        <f t="shared" si="29"/>
        <v>0</v>
      </c>
      <c r="F721" s="50" t="s">
        <v>28</v>
      </c>
      <c r="G721" s="38">
        <v>1049</v>
      </c>
      <c r="H721" s="39">
        <f t="shared" si="30"/>
        <v>0</v>
      </c>
      <c r="I721" s="51"/>
      <c r="J721" s="52"/>
      <c r="L721" s="53"/>
      <c r="M721" s="54"/>
      <c r="N721" s="55"/>
    </row>
    <row r="722" spans="1:14" ht="16.5" customHeight="1" x14ac:dyDescent="0.2">
      <c r="A722">
        <v>691</v>
      </c>
      <c r="B722" s="96" t="s">
        <v>395</v>
      </c>
      <c r="C722" s="34"/>
      <c r="D722" s="35"/>
      <c r="E722" s="36">
        <f t="shared" si="29"/>
        <v>0</v>
      </c>
      <c r="F722" s="50" t="s">
        <v>28</v>
      </c>
      <c r="G722" s="38">
        <v>1461</v>
      </c>
      <c r="H722" s="39">
        <f t="shared" si="30"/>
        <v>0</v>
      </c>
      <c r="I722" s="51"/>
      <c r="J722" s="52"/>
      <c r="L722" s="53"/>
      <c r="M722" s="54"/>
      <c r="N722" s="55"/>
    </row>
    <row r="723" spans="1:14" ht="16.5" customHeight="1" x14ac:dyDescent="0.2">
      <c r="A723">
        <v>690</v>
      </c>
      <c r="B723" s="96" t="s">
        <v>396</v>
      </c>
      <c r="C723" s="34"/>
      <c r="D723" s="35"/>
      <c r="E723" s="36">
        <f t="shared" si="29"/>
        <v>0</v>
      </c>
      <c r="F723" s="50" t="s">
        <v>28</v>
      </c>
      <c r="G723" s="38">
        <v>762</v>
      </c>
      <c r="H723" s="39">
        <f t="shared" si="30"/>
        <v>0</v>
      </c>
      <c r="I723" s="51"/>
      <c r="J723" s="52"/>
      <c r="L723" s="53"/>
      <c r="M723" s="54"/>
      <c r="N723" s="55"/>
    </row>
    <row r="724" spans="1:14" ht="16.5" customHeight="1" x14ac:dyDescent="0.2">
      <c r="A724">
        <v>690</v>
      </c>
      <c r="B724" s="96" t="s">
        <v>397</v>
      </c>
      <c r="C724" s="34"/>
      <c r="D724" s="35"/>
      <c r="E724" s="36">
        <f t="shared" si="29"/>
        <v>0</v>
      </c>
      <c r="F724" s="50" t="s">
        <v>28</v>
      </c>
      <c r="G724" s="38">
        <v>1331</v>
      </c>
      <c r="H724" s="39">
        <f t="shared" si="30"/>
        <v>0</v>
      </c>
      <c r="I724" s="51"/>
      <c r="J724" s="52"/>
      <c r="L724" s="53"/>
      <c r="M724" s="54"/>
      <c r="N724" s="55"/>
    </row>
    <row r="725" spans="1:14" ht="16.5" customHeight="1" x14ac:dyDescent="0.2">
      <c r="A725">
        <v>691</v>
      </c>
      <c r="B725" s="96" t="s">
        <v>398</v>
      </c>
      <c r="C725" s="34"/>
      <c r="D725" s="35"/>
      <c r="E725" s="36">
        <f t="shared" si="29"/>
        <v>0</v>
      </c>
      <c r="F725" s="50" t="s">
        <v>28</v>
      </c>
      <c r="G725" s="38">
        <v>1886</v>
      </c>
      <c r="H725" s="39">
        <f t="shared" si="30"/>
        <v>0</v>
      </c>
      <c r="I725" s="51"/>
      <c r="J725" s="52"/>
      <c r="L725" s="53"/>
      <c r="M725" s="54"/>
      <c r="N725" s="55"/>
    </row>
    <row r="726" spans="1:14" ht="16.5" customHeight="1" x14ac:dyDescent="0.2">
      <c r="A726">
        <v>691</v>
      </c>
      <c r="B726" s="96" t="s">
        <v>399</v>
      </c>
      <c r="C726" s="34"/>
      <c r="D726" s="35"/>
      <c r="E726" s="36">
        <f t="shared" si="29"/>
        <v>0</v>
      </c>
      <c r="F726" s="50" t="s">
        <v>28</v>
      </c>
      <c r="G726" s="38">
        <v>286</v>
      </c>
      <c r="H726" s="39">
        <f t="shared" si="30"/>
        <v>0</v>
      </c>
      <c r="I726" s="51"/>
      <c r="J726" s="52"/>
      <c r="L726" s="53"/>
      <c r="M726" s="54"/>
      <c r="N726" s="55"/>
    </row>
    <row r="727" spans="1:14" ht="16.5" customHeight="1" x14ac:dyDescent="0.2">
      <c r="A727">
        <v>691</v>
      </c>
      <c r="B727" s="96" t="s">
        <v>400</v>
      </c>
      <c r="C727" s="34"/>
      <c r="D727" s="35"/>
      <c r="E727" s="36">
        <f t="shared" si="29"/>
        <v>0</v>
      </c>
      <c r="F727" s="50" t="s">
        <v>28</v>
      </c>
      <c r="G727" s="38">
        <v>456</v>
      </c>
      <c r="H727" s="39">
        <f t="shared" si="30"/>
        <v>0</v>
      </c>
      <c r="I727" s="51"/>
      <c r="J727" s="52"/>
      <c r="L727" s="53"/>
      <c r="M727" s="54"/>
      <c r="N727" s="55"/>
    </row>
    <row r="728" spans="1:14" ht="16.5" customHeight="1" x14ac:dyDescent="0.2">
      <c r="A728">
        <v>688</v>
      </c>
      <c r="B728" s="96" t="s">
        <v>401</v>
      </c>
      <c r="C728" s="34"/>
      <c r="D728" s="35"/>
      <c r="E728" s="36">
        <f t="shared" si="29"/>
        <v>0</v>
      </c>
      <c r="F728" s="50" t="s">
        <v>28</v>
      </c>
      <c r="G728" s="38">
        <v>516</v>
      </c>
      <c r="H728" s="39">
        <f t="shared" si="30"/>
        <v>0</v>
      </c>
      <c r="I728" s="51"/>
      <c r="J728" s="52"/>
      <c r="L728" s="53"/>
      <c r="M728" s="54"/>
      <c r="N728" s="55"/>
    </row>
    <row r="729" spans="1:14" ht="16.5" customHeight="1" x14ac:dyDescent="0.2">
      <c r="A729">
        <v>689</v>
      </c>
      <c r="B729" s="96" t="s">
        <v>402</v>
      </c>
      <c r="C729" s="34"/>
      <c r="D729" s="35"/>
      <c r="E729" s="36">
        <f t="shared" si="29"/>
        <v>0</v>
      </c>
      <c r="F729" s="50" t="s">
        <v>28</v>
      </c>
      <c r="G729" s="38">
        <v>410</v>
      </c>
      <c r="H729" s="39">
        <f t="shared" si="30"/>
        <v>0</v>
      </c>
      <c r="I729" s="51"/>
      <c r="J729" s="52"/>
      <c r="L729" s="53"/>
      <c r="M729" s="54"/>
      <c r="N729" s="55"/>
    </row>
    <row r="730" spans="1:14" ht="16.5" customHeight="1" x14ac:dyDescent="0.2">
      <c r="A730">
        <v>689</v>
      </c>
      <c r="B730" s="96" t="s">
        <v>403</v>
      </c>
      <c r="C730" s="34"/>
      <c r="D730" s="35"/>
      <c r="E730" s="36">
        <f t="shared" si="29"/>
        <v>0</v>
      </c>
      <c r="F730" s="50" t="s">
        <v>28</v>
      </c>
      <c r="G730" s="38">
        <v>649</v>
      </c>
      <c r="H730" s="39">
        <f t="shared" si="30"/>
        <v>0</v>
      </c>
      <c r="I730" s="51"/>
      <c r="J730" s="52"/>
      <c r="L730" s="53"/>
      <c r="M730" s="54"/>
      <c r="N730" s="55"/>
    </row>
    <row r="731" spans="1:14" ht="16.5" customHeight="1" x14ac:dyDescent="0.2">
      <c r="A731">
        <v>691</v>
      </c>
      <c r="B731" s="96" t="s">
        <v>404</v>
      </c>
      <c r="C731" s="34"/>
      <c r="D731" s="35"/>
      <c r="E731" s="36">
        <f t="shared" si="29"/>
        <v>0</v>
      </c>
      <c r="F731" s="50" t="s">
        <v>28</v>
      </c>
      <c r="G731" s="38">
        <v>798</v>
      </c>
      <c r="H731" s="39">
        <f t="shared" si="30"/>
        <v>0</v>
      </c>
      <c r="I731" s="51"/>
      <c r="J731" s="52"/>
      <c r="L731" s="53"/>
      <c r="M731" s="54"/>
      <c r="N731" s="55"/>
    </row>
    <row r="732" spans="1:14" ht="16.5" customHeight="1" x14ac:dyDescent="0.2">
      <c r="A732">
        <v>691</v>
      </c>
      <c r="B732" s="96" t="s">
        <v>405</v>
      </c>
      <c r="C732" s="34"/>
      <c r="D732" s="35"/>
      <c r="E732" s="36">
        <f t="shared" si="29"/>
        <v>0</v>
      </c>
      <c r="F732" s="50" t="s">
        <v>28</v>
      </c>
      <c r="G732" s="38">
        <v>187</v>
      </c>
      <c r="H732" s="39">
        <f t="shared" si="30"/>
        <v>0</v>
      </c>
      <c r="I732" s="51"/>
      <c r="J732" s="52"/>
      <c r="L732" s="53"/>
      <c r="M732" s="54"/>
      <c r="N732" s="55"/>
    </row>
    <row r="733" spans="1:14" ht="16.5" customHeight="1" x14ac:dyDescent="0.2">
      <c r="A733">
        <v>691</v>
      </c>
      <c r="B733" s="96" t="s">
        <v>406</v>
      </c>
      <c r="C733" s="34"/>
      <c r="D733" s="35"/>
      <c r="E733" s="36">
        <f t="shared" si="29"/>
        <v>0</v>
      </c>
      <c r="F733" s="50" t="s">
        <v>28</v>
      </c>
      <c r="G733" s="38">
        <v>208</v>
      </c>
      <c r="H733" s="39">
        <f t="shared" si="30"/>
        <v>0</v>
      </c>
      <c r="I733" s="51"/>
      <c r="J733" s="52"/>
      <c r="L733" s="53"/>
      <c r="M733" s="54"/>
      <c r="N733" s="55"/>
    </row>
    <row r="734" spans="1:14" ht="16.5" customHeight="1" x14ac:dyDescent="0.2">
      <c r="A734">
        <v>691</v>
      </c>
      <c r="B734" s="96" t="s">
        <v>407</v>
      </c>
      <c r="C734" s="34"/>
      <c r="D734" s="35"/>
      <c r="E734" s="36">
        <f t="shared" si="29"/>
        <v>0</v>
      </c>
      <c r="F734" s="50" t="s">
        <v>28</v>
      </c>
      <c r="G734" s="38">
        <v>229</v>
      </c>
      <c r="H734" s="39">
        <f t="shared" si="30"/>
        <v>0</v>
      </c>
      <c r="I734" s="51"/>
      <c r="J734" s="52"/>
      <c r="L734" s="53"/>
      <c r="M734" s="54"/>
      <c r="N734" s="55"/>
    </row>
    <row r="735" spans="1:14" ht="16.5" customHeight="1" x14ac:dyDescent="0.2">
      <c r="A735">
        <v>691</v>
      </c>
      <c r="B735" s="96" t="s">
        <v>408</v>
      </c>
      <c r="C735" s="34"/>
      <c r="D735" s="35"/>
      <c r="E735" s="36">
        <f t="shared" si="29"/>
        <v>0</v>
      </c>
      <c r="F735" s="50" t="s">
        <v>28</v>
      </c>
      <c r="G735" s="38">
        <v>526</v>
      </c>
      <c r="H735" s="39">
        <f t="shared" si="30"/>
        <v>0</v>
      </c>
      <c r="I735" s="51"/>
      <c r="J735" s="52"/>
      <c r="L735" s="53"/>
      <c r="M735" s="54"/>
      <c r="N735" s="55"/>
    </row>
    <row r="736" spans="1:14" ht="16.5" customHeight="1" x14ac:dyDescent="0.2">
      <c r="A736">
        <v>691</v>
      </c>
      <c r="B736" s="96" t="s">
        <v>409</v>
      </c>
      <c r="C736" s="34"/>
      <c r="D736" s="35"/>
      <c r="E736" s="36">
        <f t="shared" si="29"/>
        <v>0</v>
      </c>
      <c r="F736" s="50" t="s">
        <v>28</v>
      </c>
      <c r="G736" s="38">
        <v>623</v>
      </c>
      <c r="H736" s="39">
        <f t="shared" si="30"/>
        <v>0</v>
      </c>
      <c r="I736" s="51"/>
      <c r="J736" s="52"/>
      <c r="L736" s="53"/>
      <c r="M736" s="54"/>
      <c r="N736" s="55"/>
    </row>
    <row r="737" spans="1:14" ht="16.5" customHeight="1" x14ac:dyDescent="0.2">
      <c r="A737">
        <v>691</v>
      </c>
      <c r="B737" s="96" t="s">
        <v>410</v>
      </c>
      <c r="C737" s="34"/>
      <c r="D737" s="35"/>
      <c r="E737" s="36">
        <f t="shared" si="29"/>
        <v>0</v>
      </c>
      <c r="F737" s="50" t="s">
        <v>28</v>
      </c>
      <c r="G737" s="38">
        <v>42</v>
      </c>
      <c r="H737" s="39">
        <f t="shared" si="30"/>
        <v>0</v>
      </c>
      <c r="I737" s="51"/>
      <c r="J737" s="52"/>
      <c r="L737" s="53"/>
      <c r="M737" s="54"/>
      <c r="N737" s="55"/>
    </row>
    <row r="738" spans="1:14" ht="16.5" customHeight="1" x14ac:dyDescent="0.2">
      <c r="A738">
        <v>691</v>
      </c>
      <c r="B738" s="96" t="s">
        <v>411</v>
      </c>
      <c r="C738" s="34"/>
      <c r="D738" s="35"/>
      <c r="E738" s="36">
        <f t="shared" si="29"/>
        <v>0</v>
      </c>
      <c r="F738" s="50" t="s">
        <v>28</v>
      </c>
      <c r="G738" s="38">
        <v>53</v>
      </c>
      <c r="H738" s="39">
        <f t="shared" si="30"/>
        <v>0</v>
      </c>
      <c r="I738" s="51"/>
      <c r="J738" s="52"/>
      <c r="L738" s="53"/>
      <c r="M738" s="54"/>
      <c r="N738" s="55"/>
    </row>
    <row r="739" spans="1:14" ht="16.5" customHeight="1" x14ac:dyDescent="0.2">
      <c r="A739">
        <v>691</v>
      </c>
      <c r="B739" s="96" t="s">
        <v>412</v>
      </c>
      <c r="C739" s="34"/>
      <c r="D739" s="35"/>
      <c r="E739" s="36">
        <f t="shared" si="29"/>
        <v>0</v>
      </c>
      <c r="F739" s="50" t="s">
        <v>28</v>
      </c>
      <c r="G739" s="38">
        <v>71</v>
      </c>
      <c r="H739" s="39">
        <f t="shared" si="30"/>
        <v>0</v>
      </c>
      <c r="I739" s="51"/>
      <c r="J739" s="52"/>
      <c r="L739" s="53"/>
      <c r="M739" s="54"/>
      <c r="N739" s="55"/>
    </row>
    <row r="740" spans="1:14" ht="16.5" customHeight="1" x14ac:dyDescent="0.2">
      <c r="A740">
        <v>691</v>
      </c>
      <c r="B740" s="96" t="s">
        <v>413</v>
      </c>
      <c r="C740" s="34"/>
      <c r="D740" s="35"/>
      <c r="E740" s="36">
        <f t="shared" si="29"/>
        <v>0</v>
      </c>
      <c r="F740" s="50" t="s">
        <v>28</v>
      </c>
      <c r="G740" s="38">
        <v>173</v>
      </c>
      <c r="H740" s="39">
        <f t="shared" si="30"/>
        <v>0</v>
      </c>
      <c r="I740" s="51"/>
      <c r="J740" s="52"/>
      <c r="L740" s="53"/>
      <c r="M740" s="54"/>
      <c r="N740" s="55"/>
    </row>
    <row r="741" spans="1:14" ht="16.5" customHeight="1" x14ac:dyDescent="0.2">
      <c r="A741">
        <v>691</v>
      </c>
      <c r="B741" s="96" t="s">
        <v>414</v>
      </c>
      <c r="C741" s="34"/>
      <c r="D741" s="35"/>
      <c r="E741" s="36">
        <f t="shared" si="29"/>
        <v>0</v>
      </c>
      <c r="F741" s="50" t="s">
        <v>28</v>
      </c>
      <c r="G741" s="38">
        <v>381</v>
      </c>
      <c r="H741" s="39">
        <f>E741*G741</f>
        <v>0</v>
      </c>
      <c r="I741" s="51"/>
      <c r="J741" s="52"/>
      <c r="L741" s="53"/>
      <c r="M741" s="54"/>
      <c r="N741" s="55"/>
    </row>
    <row r="742" spans="1:14" ht="16.5" customHeight="1" x14ac:dyDescent="0.2">
      <c r="A742">
        <v>691</v>
      </c>
      <c r="B742" s="96" t="s">
        <v>415</v>
      </c>
      <c r="C742" s="34"/>
      <c r="D742" s="35"/>
      <c r="E742" s="36">
        <f t="shared" si="29"/>
        <v>0</v>
      </c>
      <c r="F742" s="50" t="s">
        <v>28</v>
      </c>
      <c r="G742" s="38">
        <v>1088</v>
      </c>
      <c r="H742" s="39">
        <f>E742*G742</f>
        <v>0</v>
      </c>
      <c r="I742" s="51"/>
      <c r="J742" s="52"/>
      <c r="L742" s="53"/>
      <c r="M742" s="54"/>
      <c r="N742" s="55"/>
    </row>
    <row r="743" spans="1:14" ht="16.5" customHeight="1" x14ac:dyDescent="0.2">
      <c r="A743">
        <v>691</v>
      </c>
      <c r="B743" s="96" t="s">
        <v>416</v>
      </c>
      <c r="C743" s="34"/>
      <c r="D743" s="35"/>
      <c r="E743" s="36">
        <f t="shared" si="29"/>
        <v>0</v>
      </c>
      <c r="F743" s="50" t="s">
        <v>28</v>
      </c>
      <c r="G743" s="38">
        <v>1339</v>
      </c>
      <c r="H743" s="39">
        <f>E743*G743</f>
        <v>0</v>
      </c>
      <c r="I743" s="51"/>
      <c r="J743" s="52"/>
      <c r="L743" s="53"/>
      <c r="M743" s="54"/>
      <c r="N743" s="55"/>
    </row>
    <row r="744" spans="1:14" ht="16.5" customHeight="1" x14ac:dyDescent="0.2">
      <c r="A744">
        <v>691</v>
      </c>
      <c r="B744" s="96" t="s">
        <v>417</v>
      </c>
      <c r="C744" s="34"/>
      <c r="D744" s="35"/>
      <c r="E744" s="36">
        <f t="shared" si="29"/>
        <v>0</v>
      </c>
      <c r="F744" s="50" t="s">
        <v>28</v>
      </c>
      <c r="G744" s="38">
        <v>1671</v>
      </c>
      <c r="H744" s="39">
        <f>E744*G744</f>
        <v>0</v>
      </c>
      <c r="I744" s="51"/>
      <c r="J744" s="52"/>
      <c r="L744" s="53"/>
      <c r="M744" s="54"/>
      <c r="N744" s="55"/>
    </row>
    <row r="745" spans="1:14" ht="16.5" customHeight="1" x14ac:dyDescent="0.2">
      <c r="A745">
        <v>675</v>
      </c>
      <c r="B745" s="97"/>
      <c r="C745" s="34"/>
      <c r="D745" s="35"/>
      <c r="E745" s="36"/>
      <c r="F745" s="61"/>
      <c r="G745" s="38"/>
      <c r="H745" s="39">
        <f t="shared" si="28"/>
        <v>0</v>
      </c>
      <c r="I745" s="51"/>
      <c r="J745" s="51"/>
    </row>
    <row r="746" spans="1:14" s="19" customFormat="1" ht="66" customHeight="1" x14ac:dyDescent="0.3">
      <c r="A746" s="19">
        <v>676</v>
      </c>
      <c r="B746" s="98" t="s">
        <v>418</v>
      </c>
      <c r="C746" s="21"/>
      <c r="D746" s="22"/>
      <c r="E746" s="48"/>
      <c r="F746" s="59"/>
      <c r="G746" s="31"/>
      <c r="H746" s="49">
        <f t="shared" si="28"/>
        <v>0</v>
      </c>
      <c r="I746" s="51"/>
      <c r="J746" s="51"/>
    </row>
    <row r="747" spans="1:14" ht="71.25" customHeight="1" x14ac:dyDescent="0.2">
      <c r="A747">
        <v>677</v>
      </c>
      <c r="B747" s="99" t="s">
        <v>419</v>
      </c>
      <c r="C747" s="34"/>
      <c r="D747" s="35"/>
      <c r="E747" s="36">
        <f t="shared" ref="E747:E759" si="31">SUM(C747:D747)</f>
        <v>0</v>
      </c>
      <c r="F747" s="50" t="s">
        <v>28</v>
      </c>
      <c r="G747" s="38">
        <v>3457</v>
      </c>
      <c r="H747" s="39">
        <f t="shared" si="28"/>
        <v>0</v>
      </c>
      <c r="I747" s="51"/>
      <c r="J747" s="52"/>
      <c r="L747" s="53"/>
      <c r="M747" s="54"/>
      <c r="N747" s="55"/>
    </row>
    <row r="748" spans="1:14" ht="71.25" customHeight="1" x14ac:dyDescent="0.2">
      <c r="A748">
        <v>677</v>
      </c>
      <c r="B748" s="99" t="s">
        <v>420</v>
      </c>
      <c r="C748" s="34"/>
      <c r="D748" s="35"/>
      <c r="E748" s="36">
        <f t="shared" si="31"/>
        <v>0</v>
      </c>
      <c r="F748" s="50" t="s">
        <v>28</v>
      </c>
      <c r="G748" s="38">
        <v>2075</v>
      </c>
      <c r="H748" s="39">
        <f>E748*G748</f>
        <v>0</v>
      </c>
      <c r="I748" s="51"/>
      <c r="J748" s="52"/>
      <c r="L748" s="53"/>
      <c r="M748" s="54"/>
      <c r="N748" s="55"/>
    </row>
    <row r="749" spans="1:14" ht="71.25" customHeight="1" x14ac:dyDescent="0.2">
      <c r="A749">
        <v>678</v>
      </c>
      <c r="B749" s="99" t="s">
        <v>421</v>
      </c>
      <c r="C749" s="34"/>
      <c r="D749" s="35"/>
      <c r="E749" s="36">
        <f t="shared" si="31"/>
        <v>0</v>
      </c>
      <c r="F749" s="50" t="s">
        <v>28</v>
      </c>
      <c r="G749" s="38">
        <v>2427</v>
      </c>
      <c r="H749" s="39">
        <f t="shared" si="28"/>
        <v>0</v>
      </c>
      <c r="I749" s="51"/>
      <c r="J749" s="52"/>
      <c r="L749" s="53"/>
      <c r="M749" s="54"/>
      <c r="N749" s="55"/>
    </row>
    <row r="750" spans="1:14" ht="71.25" customHeight="1" x14ac:dyDescent="0.2">
      <c r="A750">
        <v>677</v>
      </c>
      <c r="B750" s="99" t="s">
        <v>420</v>
      </c>
      <c r="C750" s="34"/>
      <c r="D750" s="35"/>
      <c r="E750" s="36">
        <f t="shared" si="31"/>
        <v>0</v>
      </c>
      <c r="F750" s="50" t="s">
        <v>28</v>
      </c>
      <c r="G750" s="38">
        <v>2079</v>
      </c>
      <c r="H750" s="39">
        <f t="shared" si="28"/>
        <v>0</v>
      </c>
      <c r="I750" s="51"/>
      <c r="J750" s="52"/>
      <c r="L750" s="53"/>
      <c r="M750" s="54"/>
      <c r="N750" s="55"/>
    </row>
    <row r="751" spans="1:14" ht="71.25" customHeight="1" x14ac:dyDescent="0.2">
      <c r="A751">
        <v>679</v>
      </c>
      <c r="B751" s="99" t="s">
        <v>422</v>
      </c>
      <c r="C751" s="34"/>
      <c r="D751" s="35"/>
      <c r="E751" s="36">
        <f t="shared" si="31"/>
        <v>0</v>
      </c>
      <c r="F751" s="50" t="s">
        <v>28</v>
      </c>
      <c r="G751" s="38">
        <v>1659</v>
      </c>
      <c r="H751" s="39">
        <f t="shared" si="28"/>
        <v>0</v>
      </c>
      <c r="I751" s="51"/>
      <c r="J751" s="52"/>
      <c r="L751" s="53"/>
      <c r="M751" s="54"/>
      <c r="N751" s="55"/>
    </row>
    <row r="752" spans="1:14" ht="71.25" customHeight="1" x14ac:dyDescent="0.2">
      <c r="A752">
        <v>677</v>
      </c>
      <c r="B752" s="99" t="s">
        <v>420</v>
      </c>
      <c r="C752" s="34"/>
      <c r="D752" s="35"/>
      <c r="E752" s="36">
        <f t="shared" si="31"/>
        <v>0</v>
      </c>
      <c r="F752" s="50" t="s">
        <v>28</v>
      </c>
      <c r="G752" s="38">
        <v>2075</v>
      </c>
      <c r="H752" s="39">
        <f t="shared" si="28"/>
        <v>0</v>
      </c>
      <c r="I752" s="51"/>
      <c r="J752" s="52"/>
      <c r="L752" s="53"/>
      <c r="M752" s="54"/>
      <c r="N752" s="55"/>
    </row>
    <row r="753" spans="1:14" ht="71.25" customHeight="1" x14ac:dyDescent="0.2">
      <c r="A753">
        <v>680</v>
      </c>
      <c r="B753" s="99" t="s">
        <v>423</v>
      </c>
      <c r="C753" s="34"/>
      <c r="D753" s="35"/>
      <c r="E753" s="36">
        <f t="shared" si="31"/>
        <v>0</v>
      </c>
      <c r="F753" s="50" t="s">
        <v>28</v>
      </c>
      <c r="G753" s="38">
        <v>1178</v>
      </c>
      <c r="H753" s="39">
        <f t="shared" si="28"/>
        <v>0</v>
      </c>
      <c r="I753" s="51"/>
      <c r="J753" s="52"/>
      <c r="L753" s="53"/>
      <c r="M753" s="54"/>
      <c r="N753" s="55"/>
    </row>
    <row r="754" spans="1:14" ht="71.25" customHeight="1" x14ac:dyDescent="0.2">
      <c r="A754">
        <v>681</v>
      </c>
      <c r="B754" s="99" t="s">
        <v>424</v>
      </c>
      <c r="C754" s="34"/>
      <c r="D754" s="35"/>
      <c r="E754" s="36">
        <f t="shared" si="31"/>
        <v>0</v>
      </c>
      <c r="F754" s="50" t="s">
        <v>28</v>
      </c>
      <c r="G754" s="38">
        <v>1247</v>
      </c>
      <c r="H754" s="39">
        <f t="shared" si="28"/>
        <v>0</v>
      </c>
      <c r="I754" s="51"/>
      <c r="J754" s="52"/>
      <c r="L754" s="53"/>
      <c r="M754" s="54"/>
      <c r="N754" s="55"/>
    </row>
    <row r="755" spans="1:14" ht="71.25" customHeight="1" x14ac:dyDescent="0.2">
      <c r="A755">
        <v>681</v>
      </c>
      <c r="B755" s="99" t="s">
        <v>425</v>
      </c>
      <c r="C755" s="34"/>
      <c r="D755" s="35"/>
      <c r="E755" s="36">
        <f t="shared" si="31"/>
        <v>0</v>
      </c>
      <c r="F755" s="50" t="s">
        <v>28</v>
      </c>
      <c r="G755" s="38">
        <v>2427</v>
      </c>
      <c r="H755" s="39">
        <f>E755*G755</f>
        <v>0</v>
      </c>
      <c r="I755" s="51"/>
      <c r="J755" s="52"/>
      <c r="L755" s="53"/>
      <c r="M755" s="54"/>
      <c r="N755" s="55"/>
    </row>
    <row r="756" spans="1:14" ht="71.25" customHeight="1" x14ac:dyDescent="0.2">
      <c r="A756">
        <v>677</v>
      </c>
      <c r="B756" s="99" t="s">
        <v>420</v>
      </c>
      <c r="C756" s="34"/>
      <c r="D756" s="35"/>
      <c r="E756" s="36">
        <f t="shared" si="31"/>
        <v>0</v>
      </c>
      <c r="F756" s="50" t="s">
        <v>28</v>
      </c>
      <c r="G756" s="38">
        <v>2076</v>
      </c>
      <c r="H756" s="39">
        <f>E756*G756</f>
        <v>0</v>
      </c>
      <c r="I756" s="51"/>
      <c r="J756" s="52"/>
      <c r="L756" s="53"/>
      <c r="M756" s="54"/>
      <c r="N756" s="55"/>
    </row>
    <row r="757" spans="1:14" ht="71.25" customHeight="1" x14ac:dyDescent="0.2">
      <c r="A757">
        <v>682</v>
      </c>
      <c r="B757" s="99" t="s">
        <v>426</v>
      </c>
      <c r="C757" s="34"/>
      <c r="D757" s="35"/>
      <c r="E757" s="36">
        <f t="shared" si="31"/>
        <v>0</v>
      </c>
      <c r="F757" s="50" t="s">
        <v>28</v>
      </c>
      <c r="G757" s="38">
        <v>2147</v>
      </c>
      <c r="H757" s="39">
        <f t="shared" si="28"/>
        <v>0</v>
      </c>
      <c r="I757" s="51"/>
      <c r="J757" s="52"/>
      <c r="L757" s="53"/>
      <c r="M757" s="54"/>
      <c r="N757" s="55"/>
    </row>
    <row r="758" spans="1:14" ht="71.25" customHeight="1" x14ac:dyDescent="0.2">
      <c r="A758">
        <v>684</v>
      </c>
      <c r="B758" s="99" t="s">
        <v>427</v>
      </c>
      <c r="C758" s="34"/>
      <c r="D758" s="35"/>
      <c r="E758" s="36">
        <f t="shared" si="31"/>
        <v>0</v>
      </c>
      <c r="F758" s="50" t="s">
        <v>28</v>
      </c>
      <c r="G758" s="38">
        <v>387</v>
      </c>
      <c r="H758" s="39">
        <f t="shared" si="28"/>
        <v>0</v>
      </c>
      <c r="I758" s="51"/>
      <c r="J758" s="52"/>
      <c r="L758" s="53"/>
      <c r="M758" s="54"/>
      <c r="N758" s="55"/>
    </row>
    <row r="759" spans="1:14" ht="46.5" customHeight="1" x14ac:dyDescent="0.2">
      <c r="A759">
        <v>685</v>
      </c>
      <c r="B759" s="99" t="s">
        <v>428</v>
      </c>
      <c r="C759" s="34"/>
      <c r="D759" s="35"/>
      <c r="E759" s="36">
        <f t="shared" si="31"/>
        <v>0</v>
      </c>
      <c r="F759" s="50" t="s">
        <v>28</v>
      </c>
      <c r="G759" s="38">
        <v>1384</v>
      </c>
      <c r="H759" s="39">
        <f t="shared" si="28"/>
        <v>0</v>
      </c>
      <c r="I759" s="51"/>
      <c r="J759" s="52"/>
      <c r="L759" s="53"/>
      <c r="M759" s="54"/>
      <c r="N759" s="55"/>
    </row>
    <row r="760" spans="1:14" ht="16.5" customHeight="1" x14ac:dyDescent="0.2">
      <c r="A760">
        <v>692</v>
      </c>
      <c r="B760" s="100"/>
      <c r="C760" s="34"/>
      <c r="D760" s="35"/>
      <c r="E760" s="36"/>
      <c r="F760" s="37"/>
      <c r="G760" s="38"/>
      <c r="H760" s="39">
        <f t="shared" si="28"/>
        <v>0</v>
      </c>
      <c r="I760" s="51"/>
      <c r="J760" s="51"/>
    </row>
    <row r="761" spans="1:14" ht="34.5" customHeight="1" x14ac:dyDescent="0.2">
      <c r="A761">
        <v>693</v>
      </c>
      <c r="B761" s="20" t="s">
        <v>429</v>
      </c>
      <c r="C761" s="34"/>
      <c r="D761" s="35"/>
      <c r="E761" s="36"/>
      <c r="F761" s="37"/>
      <c r="G761" s="38"/>
      <c r="H761" s="39">
        <f t="shared" si="28"/>
        <v>0</v>
      </c>
      <c r="I761" s="51"/>
      <c r="J761" s="51"/>
    </row>
    <row r="762" spans="1:14" ht="49.5" x14ac:dyDescent="0.2">
      <c r="B762" s="33" t="s">
        <v>430</v>
      </c>
      <c r="C762" s="101"/>
      <c r="D762" s="35"/>
      <c r="E762" s="36">
        <f>SUM(C762:D762)</f>
        <v>0</v>
      </c>
      <c r="F762" s="50"/>
      <c r="G762" s="38"/>
      <c r="H762" s="39">
        <f>E762*G762</f>
        <v>0</v>
      </c>
      <c r="I762" s="51"/>
      <c r="J762" s="51"/>
    </row>
    <row r="763" spans="1:14" ht="49.5" x14ac:dyDescent="0.2">
      <c r="B763" s="33" t="s">
        <v>431</v>
      </c>
      <c r="C763" s="101"/>
      <c r="D763" s="35"/>
      <c r="E763" s="36">
        <f>SUM(C763:D763)</f>
        <v>0</v>
      </c>
      <c r="F763" s="50"/>
      <c r="G763" s="38"/>
      <c r="H763" s="39">
        <f t="shared" si="28"/>
        <v>0</v>
      </c>
      <c r="I763" s="51"/>
      <c r="J763" s="51"/>
    </row>
    <row r="764" spans="1:14" ht="49.5" x14ac:dyDescent="0.2">
      <c r="B764" s="33" t="s">
        <v>432</v>
      </c>
      <c r="C764" s="101"/>
      <c r="D764" s="35"/>
      <c r="E764" s="36">
        <f>SUM(C764:D764)</f>
        <v>0</v>
      </c>
      <c r="F764" s="50"/>
      <c r="G764" s="38"/>
      <c r="H764" s="39">
        <f>E764*G764</f>
        <v>0</v>
      </c>
      <c r="I764" s="51"/>
      <c r="J764" s="51"/>
    </row>
    <row r="765" spans="1:14" ht="49.5" x14ac:dyDescent="0.2">
      <c r="B765" s="33" t="s">
        <v>433</v>
      </c>
      <c r="C765" s="101"/>
      <c r="D765" s="35"/>
      <c r="E765" s="36">
        <f>SUM(C765:D765)</f>
        <v>0</v>
      </c>
      <c r="F765" s="50"/>
      <c r="G765" s="38"/>
      <c r="H765" s="39">
        <f>E765*G765</f>
        <v>0</v>
      </c>
      <c r="I765" s="51"/>
      <c r="J765" s="51"/>
    </row>
    <row r="766" spans="1:14" ht="49.5" x14ac:dyDescent="0.2">
      <c r="B766" s="33" t="s">
        <v>434</v>
      </c>
      <c r="C766" s="34"/>
      <c r="D766" s="35"/>
      <c r="E766" s="36">
        <f>SUM(C766:D766)</f>
        <v>0</v>
      </c>
      <c r="F766" s="50"/>
      <c r="G766" s="38"/>
      <c r="H766" s="39">
        <f>E766*G766</f>
        <v>0</v>
      </c>
      <c r="I766" s="51"/>
      <c r="J766" s="51"/>
    </row>
    <row r="767" spans="1:14" x14ac:dyDescent="0.2">
      <c r="B767" s="102"/>
      <c r="C767" s="103"/>
      <c r="D767" s="103"/>
      <c r="E767" s="104"/>
      <c r="F767" s="105"/>
      <c r="G767" s="103"/>
      <c r="H767" s="106"/>
    </row>
    <row r="768" spans="1:14" x14ac:dyDescent="0.2">
      <c r="F768" s="110"/>
      <c r="G768" s="111"/>
    </row>
  </sheetData>
  <sheetProtection formatCells="0" insertRows="0" selectLockedCells="1" autoFilter="0"/>
  <conditionalFormatting sqref="H3:H766">
    <cfRule type="cellIs" dxfId="2" priority="2" stopIfTrue="1" operator="equal">
      <formula>0</formula>
    </cfRule>
  </conditionalFormatting>
  <conditionalFormatting sqref="E760:E767 E3:E14">
    <cfRule type="cellIs" dxfId="1" priority="3" stopIfTrue="1" operator="equal">
      <formula>0</formula>
    </cfRule>
  </conditionalFormatting>
  <conditionalFormatting sqref="E15:E759">
    <cfRule type="cellIs" dxfId="0" priority="1" stopIfTrue="1" operator="equal">
      <formula>0</formula>
    </cfRule>
  </conditionalFormatting>
  <pageMargins left="0.19685039370078741" right="0.19685039370078741" top="0.51181102362204722" bottom="0.43307086614173229" header="0.19685039370078741" footer="0.19685039370078741"/>
  <pageSetup paperSize="9" scale="96" orientation="portrait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Vari Schedule Of Rates</vt:lpstr>
      <vt:lpstr>'Master Vari Schedule Of Rates'!Print_Area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Chia</dc:creator>
  <cp:lastModifiedBy>Ben Chia</cp:lastModifiedBy>
  <dcterms:created xsi:type="dcterms:W3CDTF">2026-10-20T01:35:57Z</dcterms:created>
  <dcterms:modified xsi:type="dcterms:W3CDTF">2026-10-20T01:36:35Z</dcterms:modified>
</cp:coreProperties>
</file>